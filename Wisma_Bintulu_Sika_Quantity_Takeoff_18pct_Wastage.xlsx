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duct Allocation" sheetId="1" state="visible" r:id="rId3"/>
    <sheet name="Quantity +18% wastage" sheetId="2" state="visible" r:id="rId4"/>
    <sheet name="Sika Spec Reference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<sst xmlns="http://schemas.openxmlformats.org/spreadsheetml/2006/main" count="156" uniqueCount="122">
  <si>
    <t xml:space="preserve">SIKA PRODUCT ALLOCATION - WISMA BINTULU WATERPROOFING (Gutter vs Floor)</t>
  </si>
  <si>
    <t xml:space="preserve">Based on drawings BDA-MWS/BLD/1/2025 (1/11-11/11) and Sika product data sheets. Section 11/11 call-outs: "New 3 layer coat of Sika Top Seal 107 (MY)" at slab / scupper level; "New 3 Layer Of Sikalastic-632 R Water proofing Coat" on the balcony floor.</t>
  </si>
  <si>
    <t xml:space="preserve">Element</t>
  </si>
  <si>
    <t xml:space="preserve">Location (drawing)</t>
  </si>
  <si>
    <t xml:space="preserve">Area (m²)</t>
  </si>
  <si>
    <t xml:space="preserve">Product applied</t>
  </si>
  <si>
    <t xml:space="preserve">Product type (per Sika PDS)</t>
  </si>
  <si>
    <t xml:space="preserve">Why this product</t>
  </si>
  <si>
    <t xml:space="preserve">No. of coats (drawing)</t>
  </si>
  <si>
    <t xml:space="preserve">Thickness / consumption basis (Sika PDS)</t>
  </si>
  <si>
    <t xml:space="preserve">Existing RC gutter</t>
  </si>
  <si>
    <t xml:space="preserve">1st floor perimeter RC gutter ring, 99.6 m OD x 1.0 m wide (Dwg 2/11, magenta hatch: "Existing RC gutter to be clean and apply with waterproofing")</t>
  </si>
  <si>
    <t xml:space="preserve">SikaTop Seal-107 (MY)</t>
  </si>
  <si>
    <t xml:space="preserve">2-part polymer-modified cementitious waterproofing slurry (Part A liquid 5 kg + Part B powder 20 kg = 25 kg set)</t>
  </si>
  <si>
    <t xml:space="preserve">Cementitious slurry bonds to damp concrete, is suitable for water-retaining / ponding structures such as gutters, tanks and drains, tolerates the gutter being cleaned and wetted, and does not require a dry substrate or a PU primer. PU membranes are not recommended for permanently ponded gutters without full reinforcement.</t>
  </si>
  <si>
    <t xml:space="preserve">PDS: 1.5-2.0 kg/m² per coat for terraces/balconies and up to 1 m water head (approx. 2.0 kg/m² per mm); min. 2 coats, 3 coats where infiltration is severe; total min. 2 mm. Take-off uses 1.5 kg/m²/coat x 3 coats = 4.5 kg/m².</t>
  </si>
  <si>
    <t xml:space="preserve">Scupper drains</t>
  </si>
  <si>
    <t xml:space="preserve">New 300 mm wide x 50 mm deep scupper drain rings, 3rd-6th floors (yellow hatch, Dwgs 4/11-7/11)</t>
  </si>
  <si>
    <t xml:space="preserve">As above</t>
  </si>
  <si>
    <t xml:space="preserve">Section 11/11 shows SikaTop Seal-107 at the slab / scupper drain level. The drain carries standing water to the outlets, so the cementitious water-retaining coating is used, continuous with the Sikalastic-632 R floor membrane which is lapped onto the drain edge (local reinforcement with Sika Reemat / Sikalastic Fleece).</t>
  </si>
  <si>
    <t xml:space="preserve">As above: 1.5 kg/m²/coat x 3 coats = 4.5 kg/m².</t>
  </si>
  <si>
    <t xml:space="preserve">Balcony / roof-balcony floor</t>
  </si>
  <si>
    <t xml:space="preserve">Green hatch "Proposed area for water proofing work as per contract", 3rd-6th floors (Dwgs 4/11-7/11)</t>
  </si>
  <si>
    <t xml:space="preserve">Sikalastic-632 R</t>
  </si>
  <si>
    <t xml:space="preserve">1-part, moisture-triggered, rapid-curing liquid-applied polyurethane roof waterproofing membrane (21 kg pail, density ~1.40 kg/l), with Sikalastic U-Primer on concrete (14 kg pail)</t>
  </si>
  <si>
    <t xml:space="preserve">Seamless, elastic, crack-bridging, UV-resistant exposed roof membrane for falls, foot-traffic maintenance access and detailing around RWDP outlets, upstands and raking columns. This is the product the drawing names for the floor coat.</t>
  </si>
  <si>
    <t xml:space="preserve">PDS: total consumption 1.05-2.10 kg/m² (min. 2 coats); 1.75-2.45 kg/m² where fully reinforced. Take-off uses 0.70 kg/m²/coat x 3 coats = 2.10 kg/m² (upper PDS value). Primer: Sikalastic U-Primer ~0.20 kg/m² x 1 coat.</t>
  </si>
  <si>
    <t xml:space="preserve">Supporting / ancillary items</t>
  </si>
  <si>
    <t xml:space="preserve">Sikalastic U-Primer</t>
  </si>
  <si>
    <t xml:space="preserve">Primer for Sikalastic-632 R on concrete / cementitious substrates. 1-part solvent-based PU primer, 14 kg pail, ~0.20 kg/m² per coat (theoretical, PDS Sika Malaysia Apr 2023).</t>
  </si>
  <si>
    <t xml:space="preserve">Sika Reemat Premium / Sikalastic Fleece</t>
  </si>
  <si>
    <t xml:space="preserve">Local reinforcement of Sikalastic-632 R at scupper drain edges, RWDP outlets, pipe penetrations, upstands, cracks and joints (embedded in the first coat).</t>
  </si>
  <si>
    <t xml:space="preserve">Sika Reactivation Primer</t>
  </si>
  <si>
    <t xml:space="preserve">Only if a Sikalastic-632 R coat is overcoated after more than 2 days (PDS Sika Malaysia Oct 2020).</t>
  </si>
  <si>
    <t xml:space="preserve">SikaTop-122 / Sika MonoTop repair mortar</t>
  </si>
  <si>
    <t xml:space="preserve">Repair of spalls, honeycombs and the 300 x 50 mm scupper drain profile before coating (as required on site).</t>
  </si>
  <si>
    <t xml:space="preserve">Sikaflex PU sealant</t>
  </si>
  <si>
    <t xml:space="preserve">Sealing around new 100 / 110 mm uPVC RWDP coring penetrations and movement joints before membrane application.</t>
  </si>
  <si>
    <t xml:space="preserve">MATERIAL QUANTITY TAKE-OFF WITH 18% WASTAGE TOP-UP</t>
  </si>
  <si>
    <t xml:space="preserve">Blue = measured from CAD or taken from Sika PDS (editable inputs, yellow fill); black = formulas. Change any yellow cell and all quantities update.</t>
  </si>
  <si>
    <t xml:space="preserve">Wastage / top-up allowance</t>
  </si>
  <si>
    <t xml:space="preserve">As instructed (18%). Applies to all materials below.</t>
  </si>
  <si>
    <t xml:space="preserve">Item</t>
  </si>
  <si>
    <t xml:space="preserve">Product</t>
  </si>
  <si>
    <t xml:space="preserve">Element / location</t>
  </si>
  <si>
    <t xml:space="preserve">No. of coats</t>
  </si>
  <si>
    <t xml:space="preserve">Consumption (kg/m² per coat)</t>
  </si>
  <si>
    <t xml:space="preserve">Net quantity (kg)</t>
  </si>
  <si>
    <t xml:space="preserve">Wastage %</t>
  </si>
  <si>
    <t xml:space="preserve">Total quantity incl. wastage (kg)</t>
  </si>
  <si>
    <t xml:space="preserve">Pack size (kg)</t>
  </si>
  <si>
    <t xml:space="preserve">No. of packs to order</t>
  </si>
  <si>
    <t xml:space="preserve">Basis / remarks</t>
  </si>
  <si>
    <t xml:space="preserve">Existing RC gutter, 1st floor</t>
  </si>
  <si>
    <t xml:space="preserve">Area: CAD take-off (plan area, gutter walls excluded). 3 coats per drawing note. 1.5 kg/m²/coat per Sika PDS (terraces/balconies, up to 1 m head). 25 kg set (5 kg A + 20 kg B).</t>
  </si>
  <si>
    <t xml:space="preserve">Scupper drains, 3rd-6th floors</t>
  </si>
  <si>
    <t xml:space="preserve">Area: CAD take-off (plan area as drawn). 3 coats per drawing note. 1.5 kg/m²/coat per Sika PDS.</t>
  </si>
  <si>
    <t xml:space="preserve">Balcony floors, 3rd-6th floors (primer for Sikalastic-632 R)</t>
  </si>
  <si>
    <t xml:space="preserve">~0.20 kg/m² per coat, 1 coat on concrete (Sika Malaysia PDS Apr 2023). 14 kg pail.</t>
  </si>
  <si>
    <t xml:space="preserve">Balcony floors, 3rd-6th floors</t>
  </si>
  <si>
    <t xml:space="preserve">Area: CAD take-off (green hatch). 3 layers per drawing note. 0.70 kg/m²/coat gives 2.10 kg/m² total = upper value of Sika PDS range (1.05-2.10 kg/m²). 21 kg pail.</t>
  </si>
  <si>
    <t xml:space="preserve">Sika Reemat Premium (detailing)</t>
  </si>
  <si>
    <t xml:space="preserve">Local reinforcement at scupper drain edges, RWDP outlets, upstands (enter area if required)</t>
  </si>
  <si>
    <t xml:space="preserve">Optional: enter m² of detailing strips (e.g. 0.30 m wide strips along drain edges / outlets). Pack = 50 m² roll (1 m x 50 m) - confirm with Sika Malaysia.</t>
  </si>
  <si>
    <t xml:space="preserve">SUMMARY BY PRODUCT</t>
  </si>
  <si>
    <t xml:space="preserve">Net (kg)</t>
  </si>
  <si>
    <t xml:space="preserve">Incl. wastage (kg)</t>
  </si>
  <si>
    <t xml:space="preserve">Pack (kg)</t>
  </si>
  <si>
    <t xml:space="preserve">Packs</t>
  </si>
  <si>
    <t xml:space="preserve">Note</t>
  </si>
  <si>
    <t xml:space="preserve">Gutter + scupper drains</t>
  </si>
  <si>
    <t xml:space="preserve">Floor primer</t>
  </si>
  <si>
    <t xml:space="preserve">Floor membrane</t>
  </si>
  <si>
    <t xml:space="preserve">Sika Reemat Premium</t>
  </si>
  <si>
    <t xml:space="preserve">Detailing (optional)</t>
  </si>
  <si>
    <t xml:space="preserve">Notes:</t>
  </si>
  <si>
    <t xml:space="preserve">1. Consumption figures are theoretical PDS values; they exclude surface porosity, profile and level variations. The 18% top-up covers wastage, overlap at details and substrate absorption.</t>
  </si>
  <si>
    <t xml:space="preserve">2. Packs for SikaTop Seal-107 are ordered per product (gutter + drains combined) so that part sets are not left over; see Summary by Product.</t>
  </si>
  <si>
    <t xml:space="preserve">3. Confirm current pack sizes and local consumption with Sika Malaysia (mys.sika.com) before ordering.</t>
  </si>
  <si>
    <t xml:space="preserve">4. Areas are plan areas from the CAD drawing; gutter side walls, upstands and drain side faces are excluded - add them from site measurement if they are to be coated.</t>
  </si>
  <si>
    <t xml:space="preserve">SIKA SPECIFICATION EXTRACTS USED</t>
  </si>
  <si>
    <t xml:space="preserve">Property</t>
  </si>
  <si>
    <t xml:space="preserve">Value</t>
  </si>
  <si>
    <t xml:space="preserve">Source</t>
  </si>
  <si>
    <t xml:space="preserve">SikaTop Seal-107</t>
  </si>
  <si>
    <t xml:space="preserve">Description</t>
  </si>
  <si>
    <t xml:space="preserve">2-part, polymer-modified, cementitious waterproofing slurry / mortar; brush or trowel applied</t>
  </si>
  <si>
    <t xml:space="preserve">Sika PDS SikaTop-107 Seal (VN Mar 2026 / ID Oct 2025 / PH Nov 2024)</t>
  </si>
  <si>
    <t xml:space="preserve">Uses</t>
  </si>
  <si>
    <t xml:space="preserve">Waterproofing of concrete and mortar: terraces, balconies, bathrooms, water tanks, cisterns, basements, gutters and drains, water head up to / above 1 m</t>
  </si>
  <si>
    <t xml:space="preserve">Sika PDS (regional versions)</t>
  </si>
  <si>
    <t xml:space="preserve">Packaging</t>
  </si>
  <si>
    <t xml:space="preserve">25 kg set: Part A liquid 5 kg pail + Part B powder 20 kg bag</t>
  </si>
  <si>
    <t xml:space="preserve">Sika PDS</t>
  </si>
  <si>
    <t xml:space="preserve">Mixing ratio</t>
  </si>
  <si>
    <t xml:space="preserve">A : B = 1 : 4 by weight (slurry)</t>
  </si>
  <si>
    <t xml:space="preserve">Consumption</t>
  </si>
  <si>
    <t xml:space="preserve">1.0 kg/m²/coat (MY page, balconies); 1.5-2.0 kg/m²/coat (terraces/balconies, up to 1 m head); ~2.0 kg/m²/coat above 1 m head; approx. 2.0 kg/m² per mm; max 2 kg/m² per coat</t>
  </si>
  <si>
    <t xml:space="preserve">Sika PDS; Sika Malaysia product page</t>
  </si>
  <si>
    <t xml:space="preserve">Coats / thickness</t>
  </si>
  <si>
    <t xml:space="preserve">Minimum 2 coats (3 where infiltration is severe), total min. ~2 mm; 2nd coat applied crosswise once 1st coat has hardened (approx. 4-8 h at &gt;20 °C; max 48 h, re-wet if &gt;12 h)</t>
  </si>
  <si>
    <t xml:space="preserve">Sika PDS / Sika Malaysia product page</t>
  </si>
  <si>
    <t xml:space="preserve">Substrate</t>
  </si>
  <si>
    <t xml:space="preserve">Sound, clean concrete, saturated surface dry (pre-wet, no standing water); remove laitance, dust, oil, loose material</t>
  </si>
  <si>
    <t xml:space="preserve">Curing</t>
  </si>
  <si>
    <t xml:space="preserve">Protect from rain and rapid drying; moist cure / protect 3-5 days; air cure min. 2 days before immersion</t>
  </si>
  <si>
    <t xml:space="preserve">1-part, moisture-triggered, rapid-curing, pure polyurethane liquid-applied roof waterproofing membrane (grey)</t>
  </si>
  <si>
    <t xml:space="preserve">Sika Malaysia PDS Oct 2020 v04.01; PH Jan 2025 v04.03</t>
  </si>
  <si>
    <t xml:space="preserve">Packaging / density</t>
  </si>
  <si>
    <t xml:space="preserve">21 kg pail; ~1.40 kg/l</t>
  </si>
  <si>
    <t xml:space="preserve">Coating system min. 2 coats: total 1.05-2.10 kg/m²; reinforced system (1 coat with Sikalastic Fleece / Sika Reemat + 1 coat): 1.75-2.45 kg/m². Theoretical, excludes wastage</t>
  </si>
  <si>
    <t xml:space="preserve">Primer</t>
  </si>
  <si>
    <t xml:space="preserve">Concrete / cementitious: Sikalastic U-Primer (1-part solvent-based PU, 14 kg pail, ~0.20 kg/m²/coat). Overcoating after &gt; 2 days: Sika Reactivation Primer</t>
  </si>
  <si>
    <t xml:space="preserve">Sika Malaysia PDS / U-Primer PDS Apr 2023</t>
  </si>
  <si>
    <t xml:space="preserve">Concrete cured min. 28 days, pull-off ≥ 1.5 N/mm², moisture &lt; 4% pbw, mechanically prepared (grinding / blasting), substrate ≥ 3 °C above dew point, ambient +10 to +40 °C</t>
  </si>
  <si>
    <t xml:space="preserve">Sika PDS / Sika Vietnam Method Statement 2018</t>
  </si>
  <si>
    <t xml:space="preserve">Detailing</t>
  </si>
  <si>
    <t xml:space="preserve">Local reinforcement with Sika Reemat / Sikalastic Fleece / Sika Flexitape at outlets, penetrations, upstands, joints and cracks</t>
  </si>
  <si>
    <t xml:space="preserve">Sika Malaysia product page</t>
  </si>
  <si>
    <t xml:space="preserve">Data</t>
  </si>
  <si>
    <t xml:space="preserve">1-part PU primer, 14 kg, density ~1.01 kg/l, ~0.20 kg/m²/coat, shelf life 9 months</t>
  </si>
  <si>
    <t xml:space="preserve">Sika Malaysia PDS Apr 2023 v03.01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</si>
</sst>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.00"/>
    <numFmt numFmtId="166" formatCode="0%"/>
    <numFmt numFmtId="167" formatCode="#,##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9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9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sz val="10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8CBAD"/>
        <bgColor rgb="FFFFF2CC"/>
      </patternFill>
    </fill>
    <fill>
      <patternFill patternType="solid">
        <fgColor rgb="FFFFF59D"/>
        <bgColor rgb="FFFFF2CC"/>
      </patternFill>
    </fill>
    <fill>
      <patternFill patternType="solid">
        <fgColor rgb="FFC6E0B4"/>
        <bgColor rgb="FFCCFFCC"/>
      </patternFill>
    </fill>
    <fill>
      <patternFill patternType="solid">
        <fgColor rgb="FFFFFF00"/>
        <bgColor rgb="FFFFFF00"/>
      </patternFill>
    </fill>
    <fill>
      <patternFill patternType="solid">
        <fgColor rgb="FFEDEDED"/>
        <bgColor rgb="FFFFF2CC"/>
      </patternFill>
    </fill>
    <fill>
      <patternFill patternType="solid">
        <fgColor rgb="FFFFF2CC"/>
        <bgColor rgb="FFEDEDE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1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5" fontId="9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9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0" fillId="0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6" fontId="0" fillId="0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8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2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0" fillId="8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7" fontId="7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6E0B4"/>
      <rgbColor rgb="FF808080"/>
      <rgbColor rgb="FF9999FF"/>
      <rgbColor rgb="FF993366"/>
      <rgbColor rgb="FFFFF2CC"/>
      <rgbColor rgb="FFEDEDED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59D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42"/>
    <col collapsed="false" customWidth="true" hidden="false" outlineLevel="0" max="3" min="3" style="0" width="11"/>
    <col collapsed="false" customWidth="true" hidden="false" outlineLevel="0" max="4" min="4" style="0" width="22"/>
    <col collapsed="false" customWidth="true" hidden="false" outlineLevel="0" max="5" min="5" style="0" width="36"/>
    <col collapsed="false" customWidth="true" hidden="false" outlineLevel="0" max="6" min="6" style="0" width="60"/>
    <col collapsed="false" customWidth="true" hidden="false" outlineLevel="0" max="7" min="7" style="0" width="10"/>
    <col collapsed="false" customWidth="true" hidden="false" outlineLevel="0" max="8" min="8" style="0" width="52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3.7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customFormat="false" ht="120" hidden="false" customHeight="true" outlineLevel="0" collapsed="false">
      <c r="A5" s="4" t="s">
        <v>10</v>
      </c>
      <c r="B5" s="5" t="s">
        <v>11</v>
      </c>
      <c r="C5" s="6" t="n">
        <v>309.84</v>
      </c>
      <c r="D5" s="7" t="s">
        <v>12</v>
      </c>
      <c r="E5" s="5" t="s">
        <v>13</v>
      </c>
      <c r="F5" s="5" t="s">
        <v>14</v>
      </c>
      <c r="G5" s="5" t="n">
        <v>3</v>
      </c>
      <c r="H5" s="5" t="s">
        <v>15</v>
      </c>
    </row>
    <row r="6" customFormat="false" ht="120" hidden="false" customHeight="true" outlineLevel="0" collapsed="false">
      <c r="A6" s="4" t="s">
        <v>16</v>
      </c>
      <c r="B6" s="5" t="s">
        <v>17</v>
      </c>
      <c r="C6" s="6" t="n">
        <v>337.9</v>
      </c>
      <c r="D6" s="8" t="s">
        <v>12</v>
      </c>
      <c r="E6" s="5" t="s">
        <v>18</v>
      </c>
      <c r="F6" s="5" t="s">
        <v>19</v>
      </c>
      <c r="G6" s="5" t="n">
        <v>3</v>
      </c>
      <c r="H6" s="5" t="s">
        <v>20</v>
      </c>
    </row>
    <row r="7" customFormat="false" ht="120" hidden="false" customHeight="true" outlineLevel="0" collapsed="false">
      <c r="A7" s="4" t="s">
        <v>21</v>
      </c>
      <c r="B7" s="5" t="s">
        <v>22</v>
      </c>
      <c r="C7" s="6" t="n">
        <v>2688.1</v>
      </c>
      <c r="D7" s="9" t="s">
        <v>23</v>
      </c>
      <c r="E7" s="5" t="s">
        <v>24</v>
      </c>
      <c r="F7" s="5" t="s">
        <v>25</v>
      </c>
      <c r="G7" s="5" t="n">
        <v>3</v>
      </c>
      <c r="H7" s="5" t="s">
        <v>26</v>
      </c>
    </row>
    <row r="9" customFormat="false" ht="15" hidden="false" customHeight="false" outlineLevel="0" collapsed="false">
      <c r="A9" s="10" t="s">
        <v>27</v>
      </c>
    </row>
    <row r="10" customFormat="false" ht="30" hidden="false" customHeight="true" outlineLevel="0" collapsed="false">
      <c r="A10" s="11" t="s">
        <v>28</v>
      </c>
      <c r="B10" s="5" t="s">
        <v>29</v>
      </c>
      <c r="C10" s="5"/>
      <c r="D10" s="5"/>
      <c r="E10" s="5"/>
      <c r="F10" s="5"/>
      <c r="G10" s="5"/>
      <c r="H10" s="5"/>
    </row>
    <row r="11" customFormat="false" ht="30" hidden="false" customHeight="true" outlineLevel="0" collapsed="false">
      <c r="A11" s="11" t="s">
        <v>30</v>
      </c>
      <c r="B11" s="5" t="s">
        <v>31</v>
      </c>
      <c r="C11" s="5"/>
      <c r="D11" s="5"/>
      <c r="E11" s="5"/>
      <c r="F11" s="5"/>
      <c r="G11" s="5"/>
      <c r="H11" s="5"/>
    </row>
    <row r="12" customFormat="false" ht="30" hidden="false" customHeight="true" outlineLevel="0" collapsed="false">
      <c r="A12" s="11" t="s">
        <v>32</v>
      </c>
      <c r="B12" s="5" t="s">
        <v>33</v>
      </c>
      <c r="C12" s="5"/>
      <c r="D12" s="5"/>
      <c r="E12" s="5"/>
      <c r="F12" s="5"/>
      <c r="G12" s="5"/>
      <c r="H12" s="5"/>
    </row>
    <row r="13" customFormat="false" ht="30" hidden="false" customHeight="true" outlineLevel="0" collapsed="false">
      <c r="A13" s="11" t="s">
        <v>34</v>
      </c>
      <c r="B13" s="5" t="s">
        <v>35</v>
      </c>
      <c r="C13" s="5"/>
      <c r="D13" s="5"/>
      <c r="E13" s="5"/>
      <c r="F13" s="5"/>
      <c r="G13" s="5"/>
      <c r="H13" s="5"/>
    </row>
    <row r="14" customFormat="false" ht="30" hidden="false" customHeight="true" outlineLevel="0" collapsed="false">
      <c r="A14" s="11" t="s">
        <v>36</v>
      </c>
      <c r="B14" s="5" t="s">
        <v>37</v>
      </c>
      <c r="C14" s="5"/>
      <c r="D14" s="5"/>
      <c r="E14" s="5"/>
      <c r="F14" s="5"/>
      <c r="G14" s="5"/>
      <c r="H14" s="5"/>
    </row>
  </sheetData>
  <mergeCells count="5">
    <mergeCell ref="B10:H10"/>
    <mergeCell ref="B11:H11"/>
    <mergeCell ref="B12:H12"/>
    <mergeCell ref="B13:H13"/>
    <mergeCell ref="B14:H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6"/>
    <col collapsed="false" customWidth="true" hidden="false" outlineLevel="0" max="3" min="3" style="0" width="40"/>
    <col collapsed="false" customWidth="true" hidden="false" outlineLevel="0" max="4" min="4" style="0" width="11"/>
    <col collapsed="false" customWidth="true" hidden="false" outlineLevel="0" max="5" min="5" style="0" width="8"/>
    <col collapsed="false" customWidth="true" hidden="false" outlineLevel="0" max="7" min="6" style="0" width="13"/>
    <col collapsed="false" customWidth="true" hidden="false" outlineLevel="0" max="8" min="8" style="0" width="9"/>
    <col collapsed="false" customWidth="true" hidden="false" outlineLevel="0" max="9" min="9" style="0" width="15"/>
    <col collapsed="false" customWidth="true" hidden="false" outlineLevel="0" max="11" min="10" style="0" width="10"/>
    <col collapsed="false" customWidth="true" hidden="false" outlineLevel="0" max="12" min="12" style="0" width="60"/>
  </cols>
  <sheetData>
    <row r="1" customFormat="false" ht="16.15" hidden="false" customHeight="false" outlineLevel="0" collapsed="false">
      <c r="A1" s="1" t="s">
        <v>38</v>
      </c>
    </row>
    <row r="2" customFormat="false" ht="15" hidden="false" customHeight="false" outlineLevel="0" collapsed="false">
      <c r="A2" s="2" t="s">
        <v>39</v>
      </c>
    </row>
    <row r="4" customFormat="false" ht="15" hidden="false" customHeight="false" outlineLevel="0" collapsed="false">
      <c r="A4" s="10" t="s">
        <v>40</v>
      </c>
      <c r="B4" s="12" t="n">
        <v>0.18</v>
      </c>
      <c r="C4" s="2" t="s">
        <v>41</v>
      </c>
    </row>
    <row r="6" customFormat="false" ht="39.75" hidden="false" customHeight="true" outlineLevel="0" collapsed="false">
      <c r="A6" s="3" t="s">
        <v>42</v>
      </c>
      <c r="B6" s="3" t="s">
        <v>43</v>
      </c>
      <c r="C6" s="3" t="s">
        <v>44</v>
      </c>
      <c r="D6" s="3" t="s">
        <v>4</v>
      </c>
      <c r="E6" s="3" t="s">
        <v>45</v>
      </c>
      <c r="F6" s="3" t="s">
        <v>46</v>
      </c>
      <c r="G6" s="3" t="s">
        <v>47</v>
      </c>
      <c r="H6" s="3" t="s">
        <v>48</v>
      </c>
      <c r="I6" s="3" t="s">
        <v>49</v>
      </c>
      <c r="J6" s="3" t="s">
        <v>50</v>
      </c>
      <c r="K6" s="3" t="s">
        <v>51</v>
      </c>
      <c r="L6" s="3" t="s">
        <v>52</v>
      </c>
    </row>
    <row r="7" customFormat="false" ht="48" hidden="false" customHeight="true" outlineLevel="0" collapsed="false">
      <c r="A7" s="13" t="n">
        <v>1</v>
      </c>
      <c r="B7" s="7" t="s">
        <v>12</v>
      </c>
      <c r="C7" s="5" t="s">
        <v>53</v>
      </c>
      <c r="D7" s="14" t="n">
        <v>309.84</v>
      </c>
      <c r="E7" s="15" t="n">
        <v>3</v>
      </c>
      <c r="F7" s="14" t="n">
        <v>1.5</v>
      </c>
      <c r="G7" s="16" t="n">
        <f aca="false">D7*E7*F7</f>
        <v>1394.28</v>
      </c>
      <c r="H7" s="17" t="n">
        <f aca="false">$B$4</f>
        <v>0.18</v>
      </c>
      <c r="I7" s="18" t="n">
        <f aca="false">G7*(1+H7)</f>
        <v>1645.2504</v>
      </c>
      <c r="J7" s="14" t="n">
        <v>25</v>
      </c>
      <c r="K7" s="19" t="n">
        <f aca="false">IF(J7&gt;0,ROUNDUP(I7/J7,0),0)</f>
        <v>66</v>
      </c>
      <c r="L7" s="5" t="s">
        <v>54</v>
      </c>
    </row>
    <row r="8" customFormat="false" ht="48" hidden="false" customHeight="true" outlineLevel="0" collapsed="false">
      <c r="A8" s="13" t="n">
        <v>2</v>
      </c>
      <c r="B8" s="8" t="s">
        <v>12</v>
      </c>
      <c r="C8" s="5" t="s">
        <v>55</v>
      </c>
      <c r="D8" s="14" t="n">
        <v>337.9</v>
      </c>
      <c r="E8" s="15" t="n">
        <v>3</v>
      </c>
      <c r="F8" s="14" t="n">
        <v>1.5</v>
      </c>
      <c r="G8" s="16" t="n">
        <f aca="false">D8*E8*F8</f>
        <v>1520.55</v>
      </c>
      <c r="H8" s="17" t="n">
        <f aca="false">$B$4</f>
        <v>0.18</v>
      </c>
      <c r="I8" s="18" t="n">
        <f aca="false">G8*(1+H8)</f>
        <v>1794.249</v>
      </c>
      <c r="J8" s="14" t="n">
        <v>25</v>
      </c>
      <c r="K8" s="19" t="n">
        <f aca="false">IF(J8&gt;0,ROUNDUP(I8/J8,0),0)</f>
        <v>72</v>
      </c>
      <c r="L8" s="5" t="s">
        <v>56</v>
      </c>
    </row>
    <row r="9" customFormat="false" ht="48" hidden="false" customHeight="true" outlineLevel="0" collapsed="false">
      <c r="A9" s="13" t="n">
        <v>3</v>
      </c>
      <c r="B9" s="9" t="s">
        <v>28</v>
      </c>
      <c r="C9" s="5" t="s">
        <v>57</v>
      </c>
      <c r="D9" s="14" t="n">
        <v>2688.1</v>
      </c>
      <c r="E9" s="15" t="n">
        <v>1</v>
      </c>
      <c r="F9" s="14" t="n">
        <v>0.2</v>
      </c>
      <c r="G9" s="16" t="n">
        <f aca="false">D9*E9*F9</f>
        <v>537.62</v>
      </c>
      <c r="H9" s="17" t="n">
        <f aca="false">$B$4</f>
        <v>0.18</v>
      </c>
      <c r="I9" s="18" t="n">
        <f aca="false">G9*(1+H9)</f>
        <v>634.3916</v>
      </c>
      <c r="J9" s="14" t="n">
        <v>14</v>
      </c>
      <c r="K9" s="19" t="n">
        <f aca="false">IF(J9&gt;0,ROUNDUP(I9/J9,0),0)</f>
        <v>46</v>
      </c>
      <c r="L9" s="5" t="s">
        <v>58</v>
      </c>
    </row>
    <row r="10" customFormat="false" ht="48" hidden="false" customHeight="true" outlineLevel="0" collapsed="false">
      <c r="A10" s="13" t="n">
        <v>4</v>
      </c>
      <c r="B10" s="9" t="s">
        <v>23</v>
      </c>
      <c r="C10" s="5" t="s">
        <v>59</v>
      </c>
      <c r="D10" s="14" t="n">
        <v>2688.1</v>
      </c>
      <c r="E10" s="15" t="n">
        <v>3</v>
      </c>
      <c r="F10" s="14" t="n">
        <v>0.7</v>
      </c>
      <c r="G10" s="16" t="n">
        <f aca="false">D10*E10*F10</f>
        <v>5645.01</v>
      </c>
      <c r="H10" s="17" t="n">
        <f aca="false">$B$4</f>
        <v>0.18</v>
      </c>
      <c r="I10" s="18" t="n">
        <f aca="false">G10*(1+H10)</f>
        <v>6661.1118</v>
      </c>
      <c r="J10" s="14" t="n">
        <v>21</v>
      </c>
      <c r="K10" s="19" t="n">
        <f aca="false">IF(J10&gt;0,ROUNDUP(I10/J10,0),0)</f>
        <v>318</v>
      </c>
      <c r="L10" s="5" t="s">
        <v>60</v>
      </c>
    </row>
    <row r="11" customFormat="false" ht="48" hidden="false" customHeight="true" outlineLevel="0" collapsed="false">
      <c r="A11" s="13" t="n">
        <v>5</v>
      </c>
      <c r="B11" s="20" t="s">
        <v>61</v>
      </c>
      <c r="C11" s="5" t="s">
        <v>62</v>
      </c>
      <c r="D11" s="14" t="n">
        <v>0</v>
      </c>
      <c r="E11" s="15" t="n">
        <v>1</v>
      </c>
      <c r="F11" s="14" t="n">
        <v>0</v>
      </c>
      <c r="G11" s="16" t="n">
        <f aca="false">D11*E11*F11</f>
        <v>0</v>
      </c>
      <c r="H11" s="17" t="n">
        <f aca="false">$B$4</f>
        <v>0.18</v>
      </c>
      <c r="I11" s="18" t="n">
        <f aca="false">G11*(1+H11)</f>
        <v>0</v>
      </c>
      <c r="J11" s="14" t="n">
        <v>50</v>
      </c>
      <c r="K11" s="19" t="n">
        <f aca="false">IF(J11&gt;0,ROUNDUP(I11/J11,0),0)</f>
        <v>0</v>
      </c>
      <c r="L11" s="5" t="s">
        <v>63</v>
      </c>
    </row>
    <row r="12" customFormat="false" ht="15" hidden="false" customHeight="false" outlineLevel="0" collapsed="false">
      <c r="A12" s="10" t="s">
        <v>64</v>
      </c>
    </row>
    <row r="13" customFormat="false" ht="19.5" hidden="false" customHeight="true" outlineLevel="0" collapsed="false">
      <c r="A13" s="3"/>
      <c r="B13" s="3" t="s">
        <v>43</v>
      </c>
      <c r="C13" s="3"/>
      <c r="D13" s="3" t="s">
        <v>4</v>
      </c>
      <c r="E13" s="3"/>
      <c r="F13" s="3"/>
      <c r="G13" s="3" t="s">
        <v>65</v>
      </c>
      <c r="H13" s="3"/>
      <c r="I13" s="3" t="s">
        <v>66</v>
      </c>
      <c r="J13" s="3" t="s">
        <v>67</v>
      </c>
      <c r="K13" s="3" t="s">
        <v>68</v>
      </c>
      <c r="L13" s="3" t="s">
        <v>69</v>
      </c>
    </row>
    <row r="14" customFormat="false" ht="15" hidden="false" customHeight="false" outlineLevel="0" collapsed="false">
      <c r="A14" s="21"/>
      <c r="B14" s="22" t="s">
        <v>12</v>
      </c>
      <c r="C14" s="21"/>
      <c r="D14" s="23" t="n">
        <f aca="false">D7+D8</f>
        <v>647.74</v>
      </c>
      <c r="E14" s="21"/>
      <c r="F14" s="21"/>
      <c r="G14" s="23" t="n">
        <f aca="false">G7+G8</f>
        <v>2914.83</v>
      </c>
      <c r="H14" s="21"/>
      <c r="I14" s="24" t="n">
        <f aca="false">I7+I8</f>
        <v>3439.4994</v>
      </c>
      <c r="J14" s="25" t="n">
        <f aca="false">J7</f>
        <v>25</v>
      </c>
      <c r="K14" s="26" t="n">
        <f aca="false">IF(J14&gt;0,ROUNDUP(I14/J14,0),0)</f>
        <v>138</v>
      </c>
      <c r="L14" s="27" t="s">
        <v>70</v>
      </c>
    </row>
    <row r="15" customFormat="false" ht="15" hidden="false" customHeight="false" outlineLevel="0" collapsed="false">
      <c r="A15" s="21"/>
      <c r="B15" s="22" t="s">
        <v>28</v>
      </c>
      <c r="C15" s="21"/>
      <c r="D15" s="23" t="n">
        <f aca="false">D9</f>
        <v>2688.1</v>
      </c>
      <c r="E15" s="21"/>
      <c r="F15" s="21"/>
      <c r="G15" s="23" t="n">
        <f aca="false">G9</f>
        <v>537.62</v>
      </c>
      <c r="H15" s="21"/>
      <c r="I15" s="24" t="n">
        <f aca="false">I9</f>
        <v>634.3916</v>
      </c>
      <c r="J15" s="25" t="n">
        <f aca="false">J9</f>
        <v>14</v>
      </c>
      <c r="K15" s="26" t="n">
        <f aca="false">IF(J15&gt;0,ROUNDUP(I15/J15,0),0)</f>
        <v>46</v>
      </c>
      <c r="L15" s="27" t="s">
        <v>71</v>
      </c>
    </row>
    <row r="16" customFormat="false" ht="15" hidden="false" customHeight="false" outlineLevel="0" collapsed="false">
      <c r="A16" s="21"/>
      <c r="B16" s="22" t="s">
        <v>23</v>
      </c>
      <c r="C16" s="21"/>
      <c r="D16" s="23" t="n">
        <f aca="false">D10</f>
        <v>2688.1</v>
      </c>
      <c r="E16" s="21"/>
      <c r="F16" s="21"/>
      <c r="G16" s="23" t="n">
        <f aca="false">G10</f>
        <v>5645.01</v>
      </c>
      <c r="H16" s="21"/>
      <c r="I16" s="24" t="n">
        <f aca="false">I10</f>
        <v>6661.1118</v>
      </c>
      <c r="J16" s="25" t="n">
        <f aca="false">J10</f>
        <v>21</v>
      </c>
      <c r="K16" s="26" t="n">
        <f aca="false">IF(J16&gt;0,ROUNDUP(I16/J16,0),0)</f>
        <v>318</v>
      </c>
      <c r="L16" s="27" t="s">
        <v>72</v>
      </c>
    </row>
    <row r="17" customFormat="false" ht="15" hidden="false" customHeight="false" outlineLevel="0" collapsed="false">
      <c r="A17" s="21"/>
      <c r="B17" s="22" t="s">
        <v>73</v>
      </c>
      <c r="C17" s="21"/>
      <c r="D17" s="23" t="n">
        <f aca="false">D11</f>
        <v>0</v>
      </c>
      <c r="E17" s="21"/>
      <c r="F17" s="21"/>
      <c r="G17" s="23" t="n">
        <f aca="false">G11</f>
        <v>0</v>
      </c>
      <c r="H17" s="21"/>
      <c r="I17" s="24" t="n">
        <f aca="false">I11</f>
        <v>0</v>
      </c>
      <c r="J17" s="25" t="n">
        <f aca="false">J11</f>
        <v>50</v>
      </c>
      <c r="K17" s="26" t="n">
        <f aca="false">IF(J17&gt;0,ROUNDUP(I17/J17,0),0)</f>
        <v>0</v>
      </c>
      <c r="L17" s="27" t="s">
        <v>74</v>
      </c>
    </row>
    <row r="19" customFormat="false" ht="15" hidden="false" customHeight="false" outlineLevel="0" collapsed="false">
      <c r="A19" s="28" t="s">
        <v>75</v>
      </c>
    </row>
    <row r="20" customFormat="false" ht="15" hidden="false" customHeight="false" outlineLevel="0" collapsed="false">
      <c r="A20" s="29" t="s">
        <v>76</v>
      </c>
    </row>
    <row r="21" customFormat="false" ht="15" hidden="false" customHeight="false" outlineLevel="0" collapsed="false">
      <c r="A21" s="29" t="s">
        <v>77</v>
      </c>
    </row>
    <row r="22" customFormat="false" ht="15" hidden="false" customHeight="false" outlineLevel="0" collapsed="false">
      <c r="A22" s="29" t="s">
        <v>78</v>
      </c>
    </row>
    <row r="23" customFormat="false" ht="15" hidden="false" customHeight="false" outlineLevel="0" collapsed="false">
      <c r="A23" s="29" t="s">
        <v>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22"/>
    <col collapsed="false" customWidth="true" hidden="false" outlineLevel="0" max="3" min="3" style="0" width="90"/>
    <col collapsed="false" customWidth="true" hidden="false" outlineLevel="0" max="4" min="4" style="0" width="45"/>
  </cols>
  <sheetData>
    <row r="1" customFormat="false" ht="16.15" hidden="false" customHeight="false" outlineLevel="0" collapsed="false">
      <c r="A1" s="1" t="s">
        <v>80</v>
      </c>
    </row>
    <row r="3" customFormat="false" ht="21.75" hidden="false" customHeight="true" outlineLevel="0" collapsed="false">
      <c r="A3" s="3" t="s">
        <v>43</v>
      </c>
      <c r="B3" s="3" t="s">
        <v>81</v>
      </c>
      <c r="C3" s="3" t="s">
        <v>82</v>
      </c>
      <c r="D3" s="3" t="s">
        <v>83</v>
      </c>
    </row>
    <row r="4" customFormat="false" ht="42" hidden="false" customHeight="true" outlineLevel="0" collapsed="false">
      <c r="A4" s="11" t="s">
        <v>84</v>
      </c>
      <c r="B4" s="5" t="s">
        <v>85</v>
      </c>
      <c r="C4" s="5" t="s">
        <v>86</v>
      </c>
      <c r="D4" s="5" t="s">
        <v>87</v>
      </c>
    </row>
    <row r="5" customFormat="false" ht="42" hidden="false" customHeight="true" outlineLevel="0" collapsed="false">
      <c r="A5" s="11" t="s">
        <v>84</v>
      </c>
      <c r="B5" s="5" t="s">
        <v>88</v>
      </c>
      <c r="C5" s="5" t="s">
        <v>89</v>
      </c>
      <c r="D5" s="5" t="s">
        <v>90</v>
      </c>
    </row>
    <row r="6" customFormat="false" ht="42" hidden="false" customHeight="true" outlineLevel="0" collapsed="false">
      <c r="A6" s="11" t="s">
        <v>84</v>
      </c>
      <c r="B6" s="5" t="s">
        <v>91</v>
      </c>
      <c r="C6" s="5" t="s">
        <v>92</v>
      </c>
      <c r="D6" s="5" t="s">
        <v>93</v>
      </c>
    </row>
    <row r="7" customFormat="false" ht="42" hidden="false" customHeight="true" outlineLevel="0" collapsed="false">
      <c r="A7" s="11" t="s">
        <v>84</v>
      </c>
      <c r="B7" s="5" t="s">
        <v>94</v>
      </c>
      <c r="C7" s="5" t="s">
        <v>95</v>
      </c>
      <c r="D7" s="5" t="s">
        <v>93</v>
      </c>
    </row>
    <row r="8" customFormat="false" ht="42" hidden="false" customHeight="true" outlineLevel="0" collapsed="false">
      <c r="A8" s="11" t="s">
        <v>84</v>
      </c>
      <c r="B8" s="5" t="s">
        <v>96</v>
      </c>
      <c r="C8" s="5" t="s">
        <v>97</v>
      </c>
      <c r="D8" s="5" t="s">
        <v>98</v>
      </c>
    </row>
    <row r="9" customFormat="false" ht="42" hidden="false" customHeight="true" outlineLevel="0" collapsed="false">
      <c r="A9" s="11" t="s">
        <v>84</v>
      </c>
      <c r="B9" s="5" t="s">
        <v>99</v>
      </c>
      <c r="C9" s="5" t="s">
        <v>100</v>
      </c>
      <c r="D9" s="5" t="s">
        <v>101</v>
      </c>
    </row>
    <row r="10" customFormat="false" ht="42" hidden="false" customHeight="true" outlineLevel="0" collapsed="false">
      <c r="A10" s="11" t="s">
        <v>84</v>
      </c>
      <c r="B10" s="5" t="s">
        <v>102</v>
      </c>
      <c r="C10" s="5" t="s">
        <v>103</v>
      </c>
      <c r="D10" s="5" t="s">
        <v>93</v>
      </c>
    </row>
    <row r="11" customFormat="false" ht="42" hidden="false" customHeight="true" outlineLevel="0" collapsed="false">
      <c r="A11" s="11" t="s">
        <v>84</v>
      </c>
      <c r="B11" s="5" t="s">
        <v>104</v>
      </c>
      <c r="C11" s="5" t="s">
        <v>105</v>
      </c>
      <c r="D11" s="5" t="s">
        <v>93</v>
      </c>
    </row>
    <row r="12" customFormat="false" ht="42" hidden="false" customHeight="true" outlineLevel="0" collapsed="false">
      <c r="A12" s="11" t="s">
        <v>23</v>
      </c>
      <c r="B12" s="5" t="s">
        <v>85</v>
      </c>
      <c r="C12" s="5" t="s">
        <v>106</v>
      </c>
      <c r="D12" s="5" t="s">
        <v>107</v>
      </c>
    </row>
    <row r="13" customFormat="false" ht="42" hidden="false" customHeight="true" outlineLevel="0" collapsed="false">
      <c r="A13" s="11" t="s">
        <v>23</v>
      </c>
      <c r="B13" s="5" t="s">
        <v>108</v>
      </c>
      <c r="C13" s="5" t="s">
        <v>109</v>
      </c>
      <c r="D13" s="5" t="s">
        <v>93</v>
      </c>
    </row>
    <row r="14" customFormat="false" ht="42" hidden="false" customHeight="true" outlineLevel="0" collapsed="false">
      <c r="A14" s="11" t="s">
        <v>23</v>
      </c>
      <c r="B14" s="5" t="s">
        <v>96</v>
      </c>
      <c r="C14" s="5" t="s">
        <v>110</v>
      </c>
      <c r="D14" s="5" t="s">
        <v>93</v>
      </c>
    </row>
    <row r="15" customFormat="false" ht="42" hidden="false" customHeight="true" outlineLevel="0" collapsed="false">
      <c r="A15" s="11" t="s">
        <v>23</v>
      </c>
      <c r="B15" s="5" t="s">
        <v>111</v>
      </c>
      <c r="C15" s="5" t="s">
        <v>112</v>
      </c>
      <c r="D15" s="5" t="s">
        <v>113</v>
      </c>
    </row>
    <row r="16" customFormat="false" ht="42" hidden="false" customHeight="true" outlineLevel="0" collapsed="false">
      <c r="A16" s="11" t="s">
        <v>23</v>
      </c>
      <c r="B16" s="5" t="s">
        <v>102</v>
      </c>
      <c r="C16" s="5" t="s">
        <v>114</v>
      </c>
      <c r="D16" s="5" t="s">
        <v>115</v>
      </c>
    </row>
    <row r="17" customFormat="false" ht="42" hidden="false" customHeight="true" outlineLevel="0" collapsed="false">
      <c r="A17" s="11" t="s">
        <v>23</v>
      </c>
      <c r="B17" s="5" t="s">
        <v>116</v>
      </c>
      <c r="C17" s="5" t="s">
        <v>117</v>
      </c>
      <c r="D17" s="5" t="s">
        <v>118</v>
      </c>
    </row>
    <row r="18" customFormat="false" ht="42" hidden="false" customHeight="true" outlineLevel="0" collapsed="false">
      <c r="A18" s="11" t="s">
        <v>28</v>
      </c>
      <c r="B18" s="5" t="s">
        <v>119</v>
      </c>
      <c r="C18" s="5" t="s">
        <v>120</v>
      </c>
      <c r="D18" s="5" t="s">
        <v>121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2026-10-12T09:04:12Z</dcterms:created>
  <dc:creator>openpyxl</dc:creator>
  <dc:description/>
  <dc:language>en-US</dc:language>
  <cp:lastModifiedBy/>
  <dcterms:modified xsi:type="dcterms:W3CDTF">2026-10-12T09:04:12Z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