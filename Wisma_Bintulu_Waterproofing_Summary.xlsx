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<sst xmlns="http://schemas.openxmlformats.org/spreadsheetml/2006/main" count="33" uniqueCount="28">
  <si>
    <t xml:space="preserve">WATERPROOFING AREA SUMMARY - WISMA BINTULU</t>
  </si>
  <si>
    <t xml:space="preserve">Source: Waterproofing_Contract.dwg (BDA-MWS/BLD/1/2025, March 2025). Plan areas in m², measured from the drawing hatches.</t>
  </si>
  <si>
    <t xml:space="preserve">Floor</t>
  </si>
  <si>
    <t xml:space="preserve">Floor area (m²)
Sikalastic-632 R</t>
  </si>
  <si>
    <t xml:space="preserve">RC Gutter area (m²)
SikaTop Seal-107</t>
  </si>
  <si>
    <t xml:space="preserve">Scupper drain area (m²)
SikaTop Seal-107</t>
  </si>
  <si>
    <t xml:space="preserve">1st Floor</t>
  </si>
  <si>
    <t xml:space="preserve">-</t>
  </si>
  <si>
    <t xml:space="preserve">3rd Floor</t>
  </si>
  <si>
    <t xml:space="preserve">4th Floor</t>
  </si>
  <si>
    <t xml:space="preserve">5th Floor</t>
  </si>
  <si>
    <t xml:space="preserve">6th Floor</t>
  </si>
  <si>
    <t xml:space="preserve">TOTAL (m²)</t>
  </si>
  <si>
    <t xml:space="preserve">PRODUCT TOTALS</t>
  </si>
  <si>
    <t xml:space="preserve">Product</t>
  </si>
  <si>
    <t xml:space="preserve">Area (m²)</t>
  </si>
  <si>
    <t xml:space="preserve">Add wastage %</t>
  </si>
  <si>
    <t xml:space="preserve">Area incl. wastage (m²)</t>
  </si>
  <si>
    <t xml:space="preserve">Sikalastic-632 R  -  balcony floor</t>
  </si>
  <si>
    <t xml:space="preserve">SikaTop Seal-107  -  RC gutter</t>
  </si>
  <si>
    <t xml:space="preserve">SikaTop Seal-107  -  scupper drains</t>
  </si>
  <si>
    <t xml:space="preserve">SikaTop Seal-107  -  TOTAL</t>
  </si>
  <si>
    <t xml:space="preserve">Notes:</t>
  </si>
  <si>
    <t xml:space="preserve">- Floor = green "PROPOSED AREA FOR WATER PROOFING WORK AS PER CONTRACT" on 3rd-6th floor plans.</t>
  </si>
  <si>
    <t xml:space="preserve">- RC gutter = existing RC gutter ring on 1st floor (99.6 m outer dia, 1.0 m wide), plan area only; side walls not included.</t>
  </si>
  <si>
    <t xml:space="preserve">- Scupper drain = new 300 mm scupper drain ring on 3rd-6th floors, measured as drawn.</t>
  </si>
  <si>
    <t xml:space="preserve">- Yellow cells are editable (wastage allowance). Ground and 2nd floors have no waterproofing area.</t>
  </si>
  <si>
    <t xml:space="preserve">- Full per-hatch breakdown and method: see Wisma_Bintulu_Waterproofing_Areas_Sika107_Sika632R.xlsx.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</si>
</sst>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F2CC"/>
      </patternFill>
    </fill>
    <fill>
      <patternFill patternType="solid">
        <fgColor rgb="FFC6E0B4"/>
        <bgColor rgb="FFCCFFCC"/>
      </patternFill>
    </fill>
    <fill>
      <patternFill patternType="solid">
        <fgColor rgb="FFFFF59D"/>
        <bgColor rgb="FFFFF2CC"/>
      </patternFill>
    </fill>
    <fill>
      <patternFill patternType="solid">
        <fgColor rgb="FFFFF2CC"/>
        <bgColor rgb="FFFFF59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9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6" t="n">
        <v>309.84</v>
      </c>
      <c r="D5" s="5" t="s">
        <v>7</v>
      </c>
    </row>
    <row r="6" customFormat="false" ht="15" hidden="false" customHeight="false" outlineLevel="0" collapsed="false">
      <c r="A6" s="4" t="s">
        <v>8</v>
      </c>
      <c r="B6" s="7" t="n">
        <v>960.85</v>
      </c>
      <c r="C6" s="5" t="s">
        <v>7</v>
      </c>
      <c r="D6" s="8" t="n">
        <v>110.49</v>
      </c>
    </row>
    <row r="7" customFormat="false" ht="15" hidden="false" customHeight="false" outlineLevel="0" collapsed="false">
      <c r="A7" s="4" t="s">
        <v>9</v>
      </c>
      <c r="B7" s="7" t="n">
        <v>793.02</v>
      </c>
      <c r="C7" s="5" t="s">
        <v>7</v>
      </c>
      <c r="D7" s="8" t="n">
        <v>96.79</v>
      </c>
    </row>
    <row r="8" customFormat="false" ht="15" hidden="false" customHeight="false" outlineLevel="0" collapsed="false">
      <c r="A8" s="4" t="s">
        <v>10</v>
      </c>
      <c r="B8" s="7" t="n">
        <v>553.47</v>
      </c>
      <c r="C8" s="5" t="s">
        <v>7</v>
      </c>
      <c r="D8" s="8" t="n">
        <v>72.02</v>
      </c>
    </row>
    <row r="9" customFormat="false" ht="15" hidden="false" customHeight="false" outlineLevel="0" collapsed="false">
      <c r="A9" s="4" t="s">
        <v>11</v>
      </c>
      <c r="B9" s="7" t="n">
        <v>380.76</v>
      </c>
      <c r="C9" s="5" t="s">
        <v>7</v>
      </c>
      <c r="D9" s="8" t="n">
        <v>58.6</v>
      </c>
    </row>
    <row r="10" customFormat="false" ht="15" hidden="false" customHeight="false" outlineLevel="0" collapsed="false">
      <c r="A10" s="9" t="s">
        <v>12</v>
      </c>
      <c r="B10" s="10" t="n">
        <f aca="false">SUM(B5:B9)</f>
        <v>2688.1</v>
      </c>
      <c r="C10" s="10" t="n">
        <f aca="false">SUM(C5:C9)</f>
        <v>309.84</v>
      </c>
      <c r="D10" s="10" t="n">
        <f aca="false">SUM(D5:D9)</f>
        <v>337.9</v>
      </c>
    </row>
    <row r="12" customFormat="false" ht="15" hidden="false" customHeight="false" outlineLevel="0" collapsed="false">
      <c r="A12" s="11" t="s">
        <v>13</v>
      </c>
    </row>
    <row r="13" customFormat="false" ht="15" hidden="false" customHeight="false" outlineLevel="0" collapsed="false">
      <c r="A13" s="12" t="s">
        <v>14</v>
      </c>
      <c r="B13" s="12" t="s">
        <v>15</v>
      </c>
      <c r="C13" s="12" t="s">
        <v>16</v>
      </c>
      <c r="D13" s="12" t="s">
        <v>17</v>
      </c>
    </row>
    <row r="14" customFormat="false" ht="15" hidden="false" customHeight="false" outlineLevel="0" collapsed="false">
      <c r="A14" s="13" t="s">
        <v>18</v>
      </c>
      <c r="B14" s="14" t="n">
        <f aca="false">B10</f>
        <v>2688.1</v>
      </c>
      <c r="C14" s="15" t="n">
        <v>0.1</v>
      </c>
      <c r="D14" s="16" t="n">
        <f aca="false">B14*(1+C14)</f>
        <v>2956.91</v>
      </c>
    </row>
    <row r="15" customFormat="false" ht="15" hidden="false" customHeight="false" outlineLevel="0" collapsed="false">
      <c r="A15" s="13" t="s">
        <v>19</v>
      </c>
      <c r="B15" s="14" t="n">
        <f aca="false">C10</f>
        <v>309.84</v>
      </c>
      <c r="C15" s="15" t="n">
        <v>0.1</v>
      </c>
      <c r="D15" s="16" t="n">
        <f aca="false">B15*(1+C15)</f>
        <v>340.824</v>
      </c>
    </row>
    <row r="16" customFormat="false" ht="15" hidden="false" customHeight="false" outlineLevel="0" collapsed="false">
      <c r="A16" s="13" t="s">
        <v>20</v>
      </c>
      <c r="B16" s="14" t="n">
        <f aca="false">D10</f>
        <v>337.9</v>
      </c>
      <c r="C16" s="15" t="n">
        <v>0.1</v>
      </c>
      <c r="D16" s="16" t="n">
        <f aca="false">B16*(1+C16)</f>
        <v>371.69</v>
      </c>
    </row>
    <row r="17" customFormat="false" ht="15" hidden="false" customHeight="false" outlineLevel="0" collapsed="false">
      <c r="A17" s="4" t="s">
        <v>21</v>
      </c>
      <c r="B17" s="14" t="n">
        <f aca="false">C10+D10</f>
        <v>647.74</v>
      </c>
      <c r="C17" s="17" t="n">
        <f aca="false">C14</f>
        <v>0.1</v>
      </c>
      <c r="D17" s="16" t="n">
        <f aca="false">B17*(1+C17)</f>
        <v>712.514</v>
      </c>
    </row>
    <row r="19" customFormat="false" ht="15" hidden="false" customHeight="false" outlineLevel="0" collapsed="false">
      <c r="A19" s="18" t="s">
        <v>22</v>
      </c>
    </row>
    <row r="20" customFormat="false" ht="15" hidden="false" customHeight="false" outlineLevel="0" collapsed="false">
      <c r="A20" s="19" t="s">
        <v>23</v>
      </c>
    </row>
    <row r="21" customFormat="false" ht="15" hidden="false" customHeight="false" outlineLevel="0" collapsed="false">
      <c r="A21" s="19" t="s">
        <v>24</v>
      </c>
    </row>
    <row r="22" customFormat="false" ht="15" hidden="false" customHeight="false" outlineLevel="0" collapsed="false">
      <c r="A22" s="19" t="s">
        <v>25</v>
      </c>
    </row>
    <row r="23" customFormat="false" ht="15" hidden="false" customHeight="false" outlineLevel="0" collapsed="false">
      <c r="A23" s="19" t="s">
        <v>26</v>
      </c>
    </row>
    <row r="24" customFormat="false" ht="15" hidden="false" customHeight="false" outlineLevel="0" collapsed="false">
      <c r="A24" s="1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2026-10-12T08:56:23Z</dcterms:created>
  <dc:creator>openpyxl</dc:creator>
  <dc:description/>
  <dc:language>en-US</dc:language>
  <cp:lastModifiedBy/>
  <dcterms:modified xsi:type="dcterms:W3CDTF">2026-10-12T08:56:23Z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