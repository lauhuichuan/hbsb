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ad Schedule" sheetId="1" state="visible" r:id="rId3"/>
    <sheet name="Settings &amp; Tariff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<sst xmlns="http://schemas.openxmlformats.org/spreadsheetml/2006/main" count="196" uniqueCount="152">
  <si>
    <t xml:space="preserve">WAREHOUSE ELECTRICAL LOAD SCHEDULE &amp; CONSUMPTION CALCULATOR</t>
  </si>
  <si>
    <t xml:space="preserve">Key in the yellow cells only: Type (dropdown), Watts each, Qty, Hours/day, Days/month, Load %, Phase, Peak (Y/N). All other columns calculate.</t>
  </si>
  <si>
    <t xml:space="preserve">PHASE BALANCE (A)</t>
  </si>
  <si>
    <t xml:space="preserve">Phase R</t>
  </si>
  <si>
    <t xml:space="preserve">Phase Y</t>
  </si>
  <si>
    <t xml:space="preserve">Phase B</t>
  </si>
  <si>
    <t xml:space="preserve">Phase check</t>
  </si>
  <si>
    <t xml:space="preserve">Connected load (kW)</t>
  </si>
  <si>
    <t xml:space="preserve">Est. max demand (kW)</t>
  </si>
  <si>
    <t xml:space="preserve">Current/phase (A)</t>
  </si>
  <si>
    <t xml:space="preserve">% of breaker</t>
  </si>
  <si>
    <t xml:space="preserve">Monthly kWh</t>
  </si>
  <si>
    <t xml:space="preserve">Monthly bill (RM)</t>
  </si>
  <si>
    <t xml:space="preserve">Peak current per phase</t>
  </si>
  <si>
    <t xml:space="preserve">SUPPLY CHECK:</t>
  </si>
  <si>
    <t xml:space="preserve">Imbalance</t>
  </si>
  <si>
    <t xml:space="preserve">← keep below 20%</t>
  </si>
  <si>
    <t xml:space="preserve">No</t>
  </si>
  <si>
    <t xml:space="preserve">Equipment / circuit description</t>
  </si>
  <si>
    <t xml:space="preserve">Type</t>
  </si>
  <si>
    <t xml:space="preserve">Watts each (W)</t>
  </si>
  <si>
    <t xml:space="preserve">Qty</t>
  </si>
  <si>
    <t xml:space="preserve">Hours / day</t>
  </si>
  <si>
    <t xml:space="preserve">Days / month</t>
  </si>
  <si>
    <t xml:space="preserve">Load %</t>
  </si>
  <si>
    <t xml:space="preserve">Peak (Y/N)</t>
  </si>
  <si>
    <t xml:space="preserve">Phase (R/Y/B/3P)</t>
  </si>
  <si>
    <t xml:space="preserve">kWh/day</t>
  </si>
  <si>
    <t xml:space="preserve">Connected kW</t>
  </si>
  <si>
    <t xml:space="preserve">Demand kW</t>
  </si>
  <si>
    <t xml:space="preserve">Current (A)</t>
  </si>
  <si>
    <t xml:space="preserve">Monthly cost (RM)</t>
  </si>
  <si>
    <t xml:space="preserve">Remarks</t>
  </si>
  <si>
    <t xml:space="preserve">LED spotlights - signage &amp; front</t>
  </si>
  <si>
    <t xml:space="preserve">Spotlight</t>
  </si>
  <si>
    <t xml:space="preserve">Y</t>
  </si>
  <si>
    <t xml:space="preserve">R</t>
  </si>
  <si>
    <t xml:space="preserve">Dusk to midnight</t>
  </si>
  <si>
    <t xml:space="preserve">LED high-bay lights - warehouse</t>
  </si>
  <si>
    <t xml:space="preserve">Lighting</t>
  </si>
  <si>
    <t xml:space="preserve">3P</t>
  </si>
  <si>
    <t xml:space="preserve">Spread over R/Y/B circuits</t>
  </si>
  <si>
    <t xml:space="preserve">LED tube lights - office &amp; store</t>
  </si>
  <si>
    <t xml:space="preserve">Air-cond 2.5 hp - office 1</t>
  </si>
  <si>
    <t xml:space="preserve">Air-cond</t>
  </si>
  <si>
    <t xml:space="preserve">Compressor cycling ~70%</t>
  </si>
  <si>
    <t xml:space="preserve">Air-cond 2.0 hp - office 2</t>
  </si>
  <si>
    <t xml:space="preserve">B</t>
  </si>
  <si>
    <t xml:space="preserve">Air-cond 1.5 hp - guard house</t>
  </si>
  <si>
    <t xml:space="preserve">13 A sockets - office general (per outlet)</t>
  </si>
  <si>
    <t xml:space="preserve">13A Socket</t>
  </si>
  <si>
    <t xml:space="preserve">Computers, printers, chargers</t>
  </si>
  <si>
    <t xml:space="preserve">13 A socket - pantry kettle &amp; fridge</t>
  </si>
  <si>
    <t xml:space="preserve">N</t>
  </si>
  <si>
    <t xml:space="preserve">13 A sockets - warehouse power tools</t>
  </si>
  <si>
    <t xml:space="preserve">Forklift battery charger</t>
  </si>
  <si>
    <t xml:space="preserve">Motor / Machinery</t>
  </si>
  <si>
    <t xml:space="preserve">Roller shutter motors</t>
  </si>
  <si>
    <t xml:space="preserve">CCTV, alarm, router</t>
  </si>
  <si>
    <t xml:space="preserve">Other</t>
  </si>
  <si>
    <t xml:space="preserve">24-hour load</t>
  </si>
  <si>
    <t xml:space="preserve">Water pump 1 hp</t>
  </si>
  <si>
    <t xml:space="preserve">TOTAL</t>
  </si>
  <si>
    <t xml:space="preserve">SUMMARY BY TYPE</t>
  </si>
  <si>
    <t xml:space="preserve">Items</t>
  </si>
  <si>
    <t xml:space="preserve">% of kWh</t>
  </si>
  <si>
    <t xml:space="preserve">Fan</t>
  </si>
  <si>
    <t xml:space="preserve">Annual energy (kWh)</t>
  </si>
  <si>
    <t xml:space="preserve">Annual electricity cost (RM)</t>
  </si>
  <si>
    <t xml:space="preserve">Average cost (sen/kWh)</t>
  </si>
  <si>
    <t xml:space="preserve">Carbon footprint (t CO₂ / year)</t>
  </si>
  <si>
    <t xml:space="preserve">Notes:</t>
  </si>
  <si>
    <t xml:space="preserve">1. Watts each = nameplate / running watts of one unit (see Typical Ratings on the Settings sheet). Air-cond: use running kW, not cooling capacity.</t>
  </si>
  <si>
    <t xml:space="preserve">2. Load % = fraction of rated watts actually drawn on average (air-cond compressor cycling ~70%, sockets 20-60%). Peak = Y if the item runs during the busiest hour.</t>
  </si>
  <si>
    <t xml:space="preserve">3. Phase: R / Y / B for single-phase circuits, 3P for three-phase equipment. Keep the three phase currents within 20% of each other.</t>
  </si>
  <si>
    <t xml:space="preserve">4. Current (A) per row is at full load %; the Supply Check applies the diversity factor from the Settings sheet.</t>
  </si>
  <si>
    <t xml:space="preserve">5. Bill uses Sarawak Energy C1 block rates by default (change to C2 on the Settings sheet if a maximum-demand meter is installed). Verify rates against your latest bill.</t>
  </si>
  <si>
    <t xml:space="preserve">WAREHOUSE ELECTRICAL LOAD CALCULATOR - SETTINGS</t>
  </si>
  <si>
    <t xml:space="preserve">Yellow cells are inputs. Everything else calculates automatically.</t>
  </si>
  <si>
    <t xml:space="preserve">1. INCOMING SUPPLY</t>
  </si>
  <si>
    <t xml:space="preserve">Site name</t>
  </si>
  <si>
    <t xml:space="preserve">Holy Builders Warehouse, Bintulu</t>
  </si>
  <si>
    <t xml:space="preserve">Number of phases (1 or 3)</t>
  </si>
  <si>
    <t xml:space="preserve">3-phase incoming</t>
  </si>
  <si>
    <t xml:space="preserve">Main incoming breaker rating</t>
  </si>
  <si>
    <t xml:space="preserve">A</t>
  </si>
  <si>
    <t xml:space="preserve">As given: 60 A</t>
  </si>
  <si>
    <t xml:space="preserve">Line voltage</t>
  </si>
  <si>
    <t xml:space="preserve">V</t>
  </si>
  <si>
    <t xml:space="preserve">415 V line-line for 3-phase; 240 V for single phase</t>
  </si>
  <si>
    <t xml:space="preserve">Power factor</t>
  </si>
  <si>
    <t xml:space="preserve">Typical mixed load 0.85; aircond/motors ~0.8</t>
  </si>
  <si>
    <t xml:space="preserve">Diversity factor on peak loads</t>
  </si>
  <si>
    <t xml:space="preserve">Not everything ticked "Peak" runs at full load together</t>
  </si>
  <si>
    <t xml:space="preserve">Safe continuous loading of breaker</t>
  </si>
  <si>
    <t xml:space="preserve">%</t>
  </si>
  <si>
    <t xml:space="preserve">Good practice: keep continuous load ≤ 80% of breaker rating</t>
  </si>
  <si>
    <t xml:space="preserve">Supply capacity (kVA)</t>
  </si>
  <si>
    <t xml:space="preserve">Usable power at power factor (kW)</t>
  </si>
  <si>
    <t xml:space="preserve">Safe continuous current per phase (A)</t>
  </si>
  <si>
    <t xml:space="preserve">2. TARIFF (Sarawak Energy)</t>
  </si>
  <si>
    <t xml:space="preserve">Tariff: type C1 or C2</t>
  </si>
  <si>
    <t xml:space="preserve">C1</t>
  </si>
  <si>
    <t xml:space="preserve">C1 = commercial block rates (no demand meter, usual for 60 A). C2 = 24.5 sen/kWh + RM 16/kW max demand</t>
  </si>
  <si>
    <t xml:space="preserve">C2 energy rate</t>
  </si>
  <si>
    <t xml:space="preserve">sen/kWh</t>
  </si>
  <si>
    <t xml:space="preserve">C2 maximum demand charge</t>
  </si>
  <si>
    <t xml:space="preserve">RM/kW</t>
  </si>
  <si>
    <t xml:space="preserve">C1 minimum monthly charge</t>
  </si>
  <si>
    <t xml:space="preserve">RM</t>
  </si>
  <si>
    <t xml:space="preserve">Taxes / levies on bill</t>
  </si>
  <si>
    <t xml:space="preserve">Usually 0 for commercial in Sarawak</t>
  </si>
  <si>
    <t xml:space="preserve">Default operating days per month</t>
  </si>
  <si>
    <t xml:space="preserve">days</t>
  </si>
  <si>
    <t xml:space="preserve">Grid carbon factor</t>
  </si>
  <si>
    <t xml:space="preserve">kg CO₂/kWh</t>
  </si>
  <si>
    <t xml:space="preserve">Sarawak grid (mostly hydro) - approx.</t>
  </si>
  <si>
    <t xml:space="preserve">3. C1 BLOCK RATES (editable - verify against your latest bill)</t>
  </si>
  <si>
    <t xml:space="preserve">Block</t>
  </si>
  <si>
    <t xml:space="preserve">From kWh (excl.)</t>
  </si>
  <si>
    <t xml:space="preserve">To kWh (incl.)</t>
  </si>
  <si>
    <t xml:space="preserve">kWh in block</t>
  </si>
  <si>
    <t xml:space="preserve">Charge (RM)</t>
  </si>
  <si>
    <t xml:space="preserve">C1 energy charge</t>
  </si>
  <si>
    <t xml:space="preserve">4. TYPICAL RATINGS (reference for the Watts column)</t>
  </si>
  <si>
    <t xml:space="preserve">Equipment</t>
  </si>
  <si>
    <t xml:space="preserve">Typical W each</t>
  </si>
  <si>
    <t xml:space="preserve">Note</t>
  </si>
  <si>
    <t xml:space="preserve">LED spotlight / floodlight</t>
  </si>
  <si>
    <t xml:space="preserve">30-100 W LED; halogen flood 500 W</t>
  </si>
  <si>
    <t xml:space="preserve">LED high-bay light</t>
  </si>
  <si>
    <t xml:space="preserve">100-200 W</t>
  </si>
  <si>
    <t xml:space="preserve">LED tube 4 ft</t>
  </si>
  <si>
    <t xml:space="preserve">T8 LED</t>
  </si>
  <si>
    <t xml:space="preserve">Fluorescent 2 x 36 W fitting</t>
  </si>
  <si>
    <t xml:space="preserve">incl. ballast</t>
  </si>
  <si>
    <t xml:space="preserve">Air-cond 1.0 hp</t>
  </si>
  <si>
    <t xml:space="preserve">~0.9 kW running</t>
  </si>
  <si>
    <t xml:space="preserve">Air-cond 1.5 hp</t>
  </si>
  <si>
    <t xml:space="preserve">Air-cond 2.0 hp</t>
  </si>
  <si>
    <t xml:space="preserve">Air-cond 2.5 hp</t>
  </si>
  <si>
    <t xml:space="preserve">Air-cond cassette 3.0 hp</t>
  </si>
  <si>
    <t xml:space="preserve">13 A socket - general use allowance</t>
  </si>
  <si>
    <t xml:space="preserve">per outlet, light use</t>
  </si>
  <si>
    <t xml:space="preserve">13 A socket - kettle / water heater</t>
  </si>
  <si>
    <t xml:space="preserve">13 A socket - computer &amp; monitor</t>
  </si>
  <si>
    <t xml:space="preserve">13 A socket - fridge</t>
  </si>
  <si>
    <t xml:space="preserve">running</t>
  </si>
  <si>
    <t xml:space="preserve">Ceiling / wall fan</t>
  </si>
  <si>
    <t xml:space="preserve">HVLS fan 7.3 m</t>
  </si>
  <si>
    <t xml:space="preserve">Forklift charger</t>
  </si>
  <si>
    <t xml:space="preserve">Roller shutter motor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</si>
</sst>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%"/>
    <numFmt numFmtId="167" formatCode="#,##0"/>
    <numFmt numFmtId="168" formatCode="&quot;RM &quot;#,##0.00"/>
    <numFmt numFmtId="169" formatCode="@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59D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F59D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9D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7" min="6" style="0" width="9"/>
    <col collapsed="false" customWidth="true" hidden="false" outlineLevel="0" max="9" min="8" style="0" width="8"/>
    <col collapsed="false" customWidth="true" hidden="false" outlineLevel="0" max="11" min="10" style="0" width="10"/>
    <col collapsed="false" customWidth="true" hidden="false" outlineLevel="0" max="12" min="12" style="0" width="11"/>
    <col collapsed="false" customWidth="true" hidden="false" outlineLevel="0" max="14" min="13" style="0" width="10"/>
    <col collapsed="false" customWidth="true" hidden="false" outlineLevel="0" max="15" min="15" style="0" width="11"/>
    <col collapsed="false" customWidth="true" hidden="false" outlineLevel="0" max="16" min="16" style="0" width="13"/>
    <col collapsed="false" customWidth="true" hidden="false" outlineLevel="0" max="17" min="17" style="0" width="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tr">
        <f aca="false">"Site: "&amp;'Settings &amp; Tariff'!$B$5&amp;"   |   Incoming: "&amp;'Settings &amp; Tariff'!$B$6&amp;"-phase "&amp;'Settings &amp; Tariff'!$B$7&amp;" A, "&amp;'Settings &amp; Tariff'!$B$8&amp;" V   |   Capacity "&amp;TEXT('Settings &amp; Tariff'!$B$12,"0.0")&amp;" kVA / "&amp;TEXT('Settings &amp; Tariff'!$B$13,"0.0")&amp;" kW"</f>
        <v>Site: Holy Builders Warehouse, Bintulu   |   Incoming: 3-phase 60 A, 415 V   |   Capacity 43.1 kVA / 36.7 kW</v>
      </c>
    </row>
    <row r="3" customFormat="false" ht="15" hidden="false" customHeight="false" outlineLevel="0" collapsed="false">
      <c r="A3" s="3" t="s">
        <v>1</v>
      </c>
    </row>
    <row r="5" customFormat="false" ht="27.75" hidden="false" customHeight="true" outlineLevel="0" collapsed="false">
      <c r="A5" s="4" t="s">
        <v>2</v>
      </c>
      <c r="B5" s="5" t="s">
        <v>3</v>
      </c>
      <c r="C5" s="5"/>
      <c r="D5" s="5" t="s">
        <v>4</v>
      </c>
      <c r="E5" s="5"/>
      <c r="F5" s="5" t="s">
        <v>5</v>
      </c>
      <c r="G5" s="5"/>
      <c r="H5" s="6" t="s">
        <v>6</v>
      </c>
      <c r="K5" s="7" t="s">
        <v>7</v>
      </c>
      <c r="L5" s="7" t="s">
        <v>8</v>
      </c>
      <c r="M5" s="7" t="s">
        <v>9</v>
      </c>
      <c r="N5" s="7" t="s">
        <v>10</v>
      </c>
      <c r="O5" s="7" t="s">
        <v>11</v>
      </c>
      <c r="P5" s="7" t="s">
        <v>12</v>
      </c>
    </row>
    <row r="6" customFormat="false" ht="15" hidden="false" customHeight="false" outlineLevel="0" collapsed="false">
      <c r="A6" s="0" t="s">
        <v>13</v>
      </c>
      <c r="B6" s="8" t="n">
        <f aca="false">(SUMIFS(M10:M39,J10:J39,"R")*1000/('Settings &amp; Tariff'!$B$8/SQRT(3)*'Settings &amp; Tariff'!$B$9)+SUMIFS(M10:M39,J10:J39,"3P")*1000/(SQRT(3)*'Settings &amp; Tariff'!$B$8*'Settings &amp; Tariff'!$B$9))*'Settings &amp; Tariff'!$B$10</f>
        <v>24.9434956837701</v>
      </c>
      <c r="C6" s="8"/>
      <c r="D6" s="8" t="n">
        <f aca="false">(SUMIFS(M10:M39,J10:J39,"Y")*1000/('Settings &amp; Tariff'!$B$8/SQRT(3)*'Settings &amp; Tariff'!$B$9)+SUMIFS(M10:M39,J10:J39,"3P")*1000/(SQRT(3)*'Settings &amp; Tariff'!$B$8*'Settings &amp; Tariff'!$B$9))*'Settings &amp; Tariff'!$B$10</f>
        <v>23.9614682946453</v>
      </c>
      <c r="E6" s="8"/>
      <c r="F6" s="8" t="n">
        <f aca="false">(SUMIFS(M10:M39,J10:J39,"B")*1000/('Settings &amp; Tariff'!$B$8/SQRT(3)*'Settings &amp; Tariff'!$B$9)+SUMIFS(M10:M39,J10:J39,"3P")*1000/(SQRT(3)*'Settings &amp; Tariff'!$B$8*'Settings &amp; Tariff'!$B$9))*'Settings &amp; Tariff'!$B$10</f>
        <v>28.9501674313993</v>
      </c>
      <c r="G6" s="8"/>
      <c r="H6" s="9" t="str">
        <f aca="false">IF(MAX(B6,D6,F6)&gt;'Settings &amp; Tariff'!$B$7,"Phase overloaded",IF(B7&gt;0.2,"Rebalance phases","Balanced"))</f>
        <v>Balanced</v>
      </c>
      <c r="I6" s="9"/>
      <c r="K6" s="4" t="s">
        <v>14</v>
      </c>
      <c r="L6" s="9" t="str">
        <f aca="false">IF(N7&gt;1,"OVERLOADED - demand exceeds "&amp;'Settings &amp; Tariff'!$B$7&amp;" A main breaker. Reduce peak loads or apply for a larger supply.",IF(M7&gt;'Settings &amp; Tariff'!$B$14,"NEAR LIMIT - above "&amp;'Settings &amp; Tariff'!$B$11*100&amp;"% of breaker. Stagger loads / balance phases.","OK - "&amp;TEXT('Settings &amp; Tariff'!$B$13-L7,"0.0")&amp;" kW headroom on the "&amp;'Settings &amp; Tariff'!$B$7&amp;" A supply."))</f>
        <v>OK - 20.8 kW headroom on the 60 A supply.</v>
      </c>
      <c r="M6" s="9"/>
      <c r="N6" s="9"/>
      <c r="O6" s="9"/>
      <c r="P6" s="9"/>
    </row>
    <row r="7" customFormat="false" ht="15" hidden="false" customHeight="false" outlineLevel="0" collapsed="false">
      <c r="A7" s="0" t="s">
        <v>15</v>
      </c>
      <c r="B7" s="10" t="n">
        <f aca="false">IF(MAX(B6,D6,F6)=0,0,(MAX(B6,D6,F6)-MIN(B6,D6,F6))/MAX(B6,D6,F6))</f>
        <v>0.172320217096336</v>
      </c>
      <c r="C7" s="2" t="s">
        <v>16</v>
      </c>
      <c r="K7" s="11" t="n">
        <f aca="false">SUM(L10:L39)</f>
        <v>29.39</v>
      </c>
      <c r="L7" s="11" t="n">
        <f aca="false">SUM(M10:M39)*'Settings &amp; Tariff'!$B$10</f>
        <v>15.856</v>
      </c>
      <c r="M7" s="11" t="n">
        <f aca="false">IF('Settings &amp; Tariff'!$B$6=3,L7*1000/(SQRT(3)*'Settings &amp; Tariff'!$B$8*'Settings &amp; Tariff'!$B$9),L7*1000/('Settings &amp; Tariff'!$B$8*'Settings &amp; Tariff'!$B$9))</f>
        <v>25.9517104699382</v>
      </c>
      <c r="N7" s="12" t="n">
        <f aca="false">M7/'Settings &amp; Tariff'!$B$7</f>
        <v>0.432528507832304</v>
      </c>
      <c r="O7" s="13" t="n">
        <f aca="false">SUM(O10:O39)</f>
        <v>4793.84</v>
      </c>
      <c r="P7" s="14" t="n">
        <f aca="false">IF('Settings &amp; Tariff'!$B$17="C2",MAX(O7*'Settings &amp; Tariff'!$B$18/100+L7*'Settings &amp; Tariff'!$B$19,L7*'Settings &amp; Tariff'!$B$19),MAX('Settings &amp; Tariff'!$F$32,'Settings &amp; Tariff'!$B$20))*(1+'Settings &amp; Tariff'!$B$21)</f>
        <v>1514.0288</v>
      </c>
    </row>
    <row r="9" customFormat="false" ht="39.75" hidden="false" customHeight="true" outlineLevel="0" collapsed="false">
      <c r="A9" s="15" t="s">
        <v>17</v>
      </c>
      <c r="B9" s="15" t="s">
        <v>18</v>
      </c>
      <c r="C9" s="15" t="s">
        <v>19</v>
      </c>
      <c r="D9" s="15" t="s">
        <v>20</v>
      </c>
      <c r="E9" s="15" t="s">
        <v>21</v>
      </c>
      <c r="F9" s="15" t="s">
        <v>22</v>
      </c>
      <c r="G9" s="15" t="s">
        <v>23</v>
      </c>
      <c r="H9" s="15" t="s">
        <v>24</v>
      </c>
      <c r="I9" s="15" t="s">
        <v>25</v>
      </c>
      <c r="J9" s="15" t="s">
        <v>26</v>
      </c>
      <c r="K9" s="15" t="s">
        <v>27</v>
      </c>
      <c r="L9" s="15" t="s">
        <v>28</v>
      </c>
      <c r="M9" s="15" t="s">
        <v>29</v>
      </c>
      <c r="N9" s="15" t="s">
        <v>30</v>
      </c>
      <c r="O9" s="15" t="s">
        <v>11</v>
      </c>
      <c r="P9" s="15" t="s">
        <v>31</v>
      </c>
      <c r="Q9" s="15" t="s">
        <v>32</v>
      </c>
    </row>
    <row r="10" customFormat="false" ht="15" hidden="false" customHeight="false" outlineLevel="0" collapsed="false">
      <c r="A10" s="16" t="n">
        <v>1</v>
      </c>
      <c r="B10" s="17" t="s">
        <v>33</v>
      </c>
      <c r="C10" s="17" t="s">
        <v>34</v>
      </c>
      <c r="D10" s="18" t="n">
        <v>50</v>
      </c>
      <c r="E10" s="18" t="n">
        <v>10</v>
      </c>
      <c r="F10" s="19" t="n">
        <v>12</v>
      </c>
      <c r="G10" s="18" t="n">
        <v>30</v>
      </c>
      <c r="H10" s="20" t="n">
        <v>1</v>
      </c>
      <c r="I10" s="17" t="s">
        <v>35</v>
      </c>
      <c r="J10" s="17" t="s">
        <v>36</v>
      </c>
      <c r="K10" s="21" t="n">
        <f aca="false">IF(B10="","",D10*E10*H10*F10/1000)</f>
        <v>6</v>
      </c>
      <c r="L10" s="21" t="n">
        <f aca="false">IF(B10="","",D10*E10/1000)</f>
        <v>0.5</v>
      </c>
      <c r="M10" s="21" t="n">
        <f aca="false">IF(B10="","",IF(UPPER(I10)="Y",L10*H10,0))</f>
        <v>0.5</v>
      </c>
      <c r="N10" s="21" t="n">
        <f aca="false">IF(B10="","",IF(J10="3P",L10*H10*1000/(SQRT(3)*'Settings &amp; Tariff'!$B$8*'Settings &amp; Tariff'!$B$9),L10*H10*1000/('Settings &amp; Tariff'!$B$8/SQRT(3)*'Settings &amp; Tariff'!$B$9)))</f>
        <v>2.45506847281202</v>
      </c>
      <c r="O10" s="22" t="n">
        <f aca="false">IF(B10="","",K10*G10)</f>
        <v>180</v>
      </c>
      <c r="P10" s="23" t="n">
        <f aca="false">IF(B10="","",IF($O$7=0,0,O10/$O$7*$P$7))</f>
        <v>56.8490362632045</v>
      </c>
      <c r="Q10" s="24" t="s">
        <v>37</v>
      </c>
    </row>
    <row r="11" customFormat="false" ht="15" hidden="false" customHeight="false" outlineLevel="0" collapsed="false">
      <c r="A11" s="16" t="n">
        <v>2</v>
      </c>
      <c r="B11" s="17" t="s">
        <v>38</v>
      </c>
      <c r="C11" s="17" t="s">
        <v>39</v>
      </c>
      <c r="D11" s="18" t="n">
        <v>150</v>
      </c>
      <c r="E11" s="18" t="n">
        <v>40</v>
      </c>
      <c r="F11" s="19" t="n">
        <v>10</v>
      </c>
      <c r="G11" s="18" t="n">
        <v>26</v>
      </c>
      <c r="H11" s="20" t="n">
        <v>1</v>
      </c>
      <c r="I11" s="17" t="s">
        <v>35</v>
      </c>
      <c r="J11" s="17" t="s">
        <v>40</v>
      </c>
      <c r="K11" s="21" t="n">
        <f aca="false">IF(B11="","",D11*E11*H11*F11/1000)</f>
        <v>60</v>
      </c>
      <c r="L11" s="21" t="n">
        <f aca="false">IF(B11="","",D11*E11/1000)</f>
        <v>6</v>
      </c>
      <c r="M11" s="21" t="n">
        <f aca="false">IF(B11="","",IF(UPPER(I11)="Y",L11*H11,0))</f>
        <v>6</v>
      </c>
      <c r="N11" s="21" t="n">
        <f aca="false">IF(B11="","",IF(J11="3P",L11*H11*1000/(SQRT(3)*'Settings &amp; Tariff'!$B$8*'Settings &amp; Tariff'!$B$9),L11*H11*1000/('Settings &amp; Tariff'!$B$8/SQRT(3)*'Settings &amp; Tariff'!$B$9)))</f>
        <v>9.82027389124806</v>
      </c>
      <c r="O11" s="22" t="n">
        <f aca="false">IF(B11="","",K11*G11)</f>
        <v>1560</v>
      </c>
      <c r="P11" s="23" t="n">
        <f aca="false">IF(B11="","",IF($O$7=0,0,O11/$O$7*$P$7))</f>
        <v>492.691647614439</v>
      </c>
      <c r="Q11" s="24" t="s">
        <v>41</v>
      </c>
    </row>
    <row r="12" customFormat="false" ht="15" hidden="false" customHeight="false" outlineLevel="0" collapsed="false">
      <c r="A12" s="16" t="n">
        <v>3</v>
      </c>
      <c r="B12" s="17" t="s">
        <v>42</v>
      </c>
      <c r="C12" s="17" t="s">
        <v>39</v>
      </c>
      <c r="D12" s="18" t="n">
        <v>18</v>
      </c>
      <c r="E12" s="18" t="n">
        <v>30</v>
      </c>
      <c r="F12" s="19" t="n">
        <v>9</v>
      </c>
      <c r="G12" s="18" t="n">
        <v>26</v>
      </c>
      <c r="H12" s="20" t="n">
        <v>1</v>
      </c>
      <c r="I12" s="17" t="s">
        <v>35</v>
      </c>
      <c r="J12" s="17" t="s">
        <v>36</v>
      </c>
      <c r="K12" s="21" t="n">
        <f aca="false">IF(B12="","",D12*E12*H12*F12/1000)</f>
        <v>4.86</v>
      </c>
      <c r="L12" s="21" t="n">
        <f aca="false">IF(B12="","",D12*E12/1000)</f>
        <v>0.54</v>
      </c>
      <c r="M12" s="21" t="n">
        <f aca="false">IF(B12="","",IF(UPPER(I12)="Y",L12*H12,0))</f>
        <v>0.54</v>
      </c>
      <c r="N12" s="21" t="n">
        <f aca="false">IF(B12="","",IF(J12="3P",L12*H12*1000/(SQRT(3)*'Settings &amp; Tariff'!$B$8*'Settings &amp; Tariff'!$B$9),L12*H12*1000/('Settings &amp; Tariff'!$B$8/SQRT(3)*'Settings &amp; Tariff'!$B$9)))</f>
        <v>2.65147395063698</v>
      </c>
      <c r="O12" s="22" t="n">
        <f aca="false">IF(B12="","",K12*G12)</f>
        <v>126.36</v>
      </c>
      <c r="P12" s="23" t="n">
        <f aca="false">IF(B12="","",IF($O$7=0,0,O12/$O$7*$P$7))</f>
        <v>39.9080234567695</v>
      </c>
      <c r="Q12" s="24"/>
    </row>
    <row r="13" customFormat="false" ht="15" hidden="false" customHeight="false" outlineLevel="0" collapsed="false">
      <c r="A13" s="16" t="n">
        <v>4</v>
      </c>
      <c r="B13" s="17" t="s">
        <v>43</v>
      </c>
      <c r="C13" s="17" t="s">
        <v>44</v>
      </c>
      <c r="D13" s="18" t="n">
        <v>2300</v>
      </c>
      <c r="E13" s="18" t="n">
        <v>1</v>
      </c>
      <c r="F13" s="19" t="n">
        <v>9</v>
      </c>
      <c r="G13" s="18" t="n">
        <v>26</v>
      </c>
      <c r="H13" s="20" t="n">
        <v>0.7</v>
      </c>
      <c r="I13" s="17" t="s">
        <v>35</v>
      </c>
      <c r="J13" s="17" t="s">
        <v>36</v>
      </c>
      <c r="K13" s="21" t="n">
        <f aca="false">IF(B13="","",D13*E13*H13*F13/1000)</f>
        <v>14.49</v>
      </c>
      <c r="L13" s="21" t="n">
        <f aca="false">IF(B13="","",D13*E13/1000)</f>
        <v>2.3</v>
      </c>
      <c r="M13" s="21" t="n">
        <f aca="false">IF(B13="","",IF(UPPER(I13)="Y",L13*H13,0))</f>
        <v>1.61</v>
      </c>
      <c r="N13" s="21" t="n">
        <f aca="false">IF(B13="","",IF(J13="3P",L13*H13*1000/(SQRT(3)*'Settings &amp; Tariff'!$B$8*'Settings &amp; Tariff'!$B$9),L13*H13*1000/('Settings &amp; Tariff'!$B$8/SQRT(3)*'Settings &amp; Tariff'!$B$9)))</f>
        <v>7.90532048245469</v>
      </c>
      <c r="O13" s="22" t="n">
        <f aca="false">IF(B13="","",K13*G13)</f>
        <v>376.74</v>
      </c>
      <c r="P13" s="23" t="n">
        <f aca="false">IF(B13="","",IF($O$7=0,0,O13/$O$7*$P$7))</f>
        <v>118.985032898887</v>
      </c>
      <c r="Q13" s="24" t="s">
        <v>45</v>
      </c>
    </row>
    <row r="14" customFormat="false" ht="15" hidden="false" customHeight="false" outlineLevel="0" collapsed="false">
      <c r="A14" s="16" t="n">
        <v>5</v>
      </c>
      <c r="B14" s="17" t="s">
        <v>46</v>
      </c>
      <c r="C14" s="17" t="s">
        <v>44</v>
      </c>
      <c r="D14" s="18" t="n">
        <v>1800</v>
      </c>
      <c r="E14" s="18" t="n">
        <v>1</v>
      </c>
      <c r="F14" s="19" t="n">
        <v>9</v>
      </c>
      <c r="G14" s="18" t="n">
        <v>26</v>
      </c>
      <c r="H14" s="20" t="n">
        <v>0.7</v>
      </c>
      <c r="I14" s="17" t="s">
        <v>35</v>
      </c>
      <c r="J14" s="17" t="s">
        <v>47</v>
      </c>
      <c r="K14" s="21" t="n">
        <f aca="false">IF(B14="","",D14*E14*H14*F14/1000)</f>
        <v>11.34</v>
      </c>
      <c r="L14" s="21" t="n">
        <f aca="false">IF(B14="","",D14*E14/1000)</f>
        <v>1.8</v>
      </c>
      <c r="M14" s="21" t="n">
        <f aca="false">IF(B14="","",IF(UPPER(I14)="Y",L14*H14,0))</f>
        <v>1.26</v>
      </c>
      <c r="N14" s="21" t="n">
        <f aca="false">IF(B14="","",IF(J14="3P",L14*H14*1000/(SQRT(3)*'Settings &amp; Tariff'!$B$8*'Settings &amp; Tariff'!$B$9),L14*H14*1000/('Settings &amp; Tariff'!$B$8/SQRT(3)*'Settings &amp; Tariff'!$B$9)))</f>
        <v>6.18677255148628</v>
      </c>
      <c r="O14" s="22" t="n">
        <f aca="false">IF(B14="","",K14*G14)</f>
        <v>294.84</v>
      </c>
      <c r="P14" s="23" t="n">
        <f aca="false">IF(B14="","",IF($O$7=0,0,O14/$O$7*$P$7))</f>
        <v>93.1187213991289</v>
      </c>
      <c r="Q14" s="24"/>
    </row>
    <row r="15" customFormat="false" ht="15" hidden="false" customHeight="false" outlineLevel="0" collapsed="false">
      <c r="A15" s="16" t="n">
        <v>6</v>
      </c>
      <c r="B15" s="17" t="s">
        <v>48</v>
      </c>
      <c r="C15" s="17" t="s">
        <v>44</v>
      </c>
      <c r="D15" s="18" t="n">
        <v>1300</v>
      </c>
      <c r="E15" s="18" t="n">
        <v>1</v>
      </c>
      <c r="F15" s="19" t="n">
        <v>12</v>
      </c>
      <c r="G15" s="18" t="n">
        <v>30</v>
      </c>
      <c r="H15" s="20" t="n">
        <v>0.7</v>
      </c>
      <c r="I15" s="17" t="s">
        <v>35</v>
      </c>
      <c r="J15" s="17" t="s">
        <v>47</v>
      </c>
      <c r="K15" s="21" t="n">
        <f aca="false">IF(B15="","",D15*E15*H15*F15/1000)</f>
        <v>10.92</v>
      </c>
      <c r="L15" s="21" t="n">
        <f aca="false">IF(B15="","",D15*E15/1000)</f>
        <v>1.3</v>
      </c>
      <c r="M15" s="21" t="n">
        <f aca="false">IF(B15="","",IF(UPPER(I15)="Y",L15*H15,0))</f>
        <v>0.91</v>
      </c>
      <c r="N15" s="21" t="n">
        <f aca="false">IF(B15="","",IF(J15="3P",L15*H15*1000/(SQRT(3)*'Settings &amp; Tariff'!$B$8*'Settings &amp; Tariff'!$B$9),L15*H15*1000/('Settings &amp; Tariff'!$B$8/SQRT(3)*'Settings &amp; Tariff'!$B$9)))</f>
        <v>4.46822462051787</v>
      </c>
      <c r="O15" s="22" t="n">
        <f aca="false">IF(B15="","",K15*G15)</f>
        <v>327.6</v>
      </c>
      <c r="P15" s="23" t="n">
        <f aca="false">IF(B15="","",IF($O$7=0,0,O15/$O$7*$P$7))</f>
        <v>103.465245999032</v>
      </c>
      <c r="Q15" s="24"/>
    </row>
    <row r="16" customFormat="false" ht="15" hidden="false" customHeight="false" outlineLevel="0" collapsed="false">
      <c r="A16" s="16" t="n">
        <v>7</v>
      </c>
      <c r="B16" s="17" t="s">
        <v>49</v>
      </c>
      <c r="C16" s="17" t="s">
        <v>50</v>
      </c>
      <c r="D16" s="18" t="n">
        <v>200</v>
      </c>
      <c r="E16" s="18" t="n">
        <v>12</v>
      </c>
      <c r="F16" s="19" t="n">
        <v>9</v>
      </c>
      <c r="G16" s="18" t="n">
        <v>26</v>
      </c>
      <c r="H16" s="20" t="n">
        <v>0.5</v>
      </c>
      <c r="I16" s="17" t="s">
        <v>35</v>
      </c>
      <c r="J16" s="17" t="s">
        <v>47</v>
      </c>
      <c r="K16" s="21" t="n">
        <f aca="false">IF(B16="","",D16*E16*H16*F16/1000)</f>
        <v>10.8</v>
      </c>
      <c r="L16" s="21" t="n">
        <f aca="false">IF(B16="","",D16*E16/1000)</f>
        <v>2.4</v>
      </c>
      <c r="M16" s="21" t="n">
        <f aca="false">IF(B16="","",IF(UPPER(I16)="Y",L16*H16,0))</f>
        <v>1.2</v>
      </c>
      <c r="N16" s="21" t="n">
        <f aca="false">IF(B16="","",IF(J16="3P",L16*H16*1000/(SQRT(3)*'Settings &amp; Tariff'!$B$8*'Settings &amp; Tariff'!$B$9),L16*H16*1000/('Settings &amp; Tariff'!$B$8/SQRT(3)*'Settings &amp; Tariff'!$B$9)))</f>
        <v>5.89216433474884</v>
      </c>
      <c r="O16" s="22" t="n">
        <f aca="false">IF(B16="","",K16*G16)</f>
        <v>280.8</v>
      </c>
      <c r="P16" s="23" t="n">
        <f aca="false">IF(B16="","",IF($O$7=0,0,O16/$O$7*$P$7))</f>
        <v>88.6844965705989</v>
      </c>
      <c r="Q16" s="24" t="s">
        <v>51</v>
      </c>
    </row>
    <row r="17" customFormat="false" ht="15" hidden="false" customHeight="false" outlineLevel="0" collapsed="false">
      <c r="A17" s="16" t="n">
        <v>8</v>
      </c>
      <c r="B17" s="17" t="s">
        <v>52</v>
      </c>
      <c r="C17" s="17" t="s">
        <v>50</v>
      </c>
      <c r="D17" s="18" t="n">
        <v>2000</v>
      </c>
      <c r="E17" s="18" t="n">
        <v>1</v>
      </c>
      <c r="F17" s="19" t="n">
        <v>2</v>
      </c>
      <c r="G17" s="18" t="n">
        <v>26</v>
      </c>
      <c r="H17" s="20" t="n">
        <v>1</v>
      </c>
      <c r="I17" s="17" t="s">
        <v>53</v>
      </c>
      <c r="J17" s="17" t="s">
        <v>36</v>
      </c>
      <c r="K17" s="21" t="n">
        <f aca="false">IF(B17="","",D17*E17*H17*F17/1000)</f>
        <v>4</v>
      </c>
      <c r="L17" s="21" t="n">
        <f aca="false">IF(B17="","",D17*E17/1000)</f>
        <v>2</v>
      </c>
      <c r="M17" s="21" t="n">
        <f aca="false">IF(B17="","",IF(UPPER(I17)="Y",L17*H17,0))</f>
        <v>0</v>
      </c>
      <c r="N17" s="21" t="n">
        <f aca="false">IF(B17="","",IF(J17="3P",L17*H17*1000/(SQRT(3)*'Settings &amp; Tariff'!$B$8*'Settings &amp; Tariff'!$B$9),L17*H17*1000/('Settings &amp; Tariff'!$B$8/SQRT(3)*'Settings &amp; Tariff'!$B$9)))</f>
        <v>9.82027389124806</v>
      </c>
      <c r="O17" s="22" t="n">
        <f aca="false">IF(B17="","",K17*G17)</f>
        <v>104</v>
      </c>
      <c r="P17" s="23" t="n">
        <f aca="false">IF(B17="","",IF($O$7=0,0,O17/$O$7*$P$7))</f>
        <v>32.8461098409626</v>
      </c>
      <c r="Q17" s="24"/>
    </row>
    <row r="18" customFormat="false" ht="15" hidden="false" customHeight="false" outlineLevel="0" collapsed="false">
      <c r="A18" s="16" t="n">
        <v>9</v>
      </c>
      <c r="B18" s="17" t="s">
        <v>54</v>
      </c>
      <c r="C18" s="17" t="s">
        <v>50</v>
      </c>
      <c r="D18" s="18" t="n">
        <v>1000</v>
      </c>
      <c r="E18" s="18" t="n">
        <v>4</v>
      </c>
      <c r="F18" s="19" t="n">
        <v>3</v>
      </c>
      <c r="G18" s="18" t="n">
        <v>26</v>
      </c>
      <c r="H18" s="20" t="n">
        <v>0.6</v>
      </c>
      <c r="I18" s="17" t="s">
        <v>35</v>
      </c>
      <c r="J18" s="17" t="s">
        <v>35</v>
      </c>
      <c r="K18" s="21" t="n">
        <f aca="false">IF(B18="","",D18*E18*H18*F18/1000)</f>
        <v>7.2</v>
      </c>
      <c r="L18" s="21" t="n">
        <f aca="false">IF(B18="","",D18*E18/1000)</f>
        <v>4</v>
      </c>
      <c r="M18" s="21" t="n">
        <f aca="false">IF(B18="","",IF(UPPER(I18)="Y",L18*H18,0))</f>
        <v>2.4</v>
      </c>
      <c r="N18" s="21" t="n">
        <f aca="false">IF(B18="","",IF(J18="3P",L18*H18*1000/(SQRT(3)*'Settings &amp; Tariff'!$B$8*'Settings &amp; Tariff'!$B$9),L18*H18*1000/('Settings &amp; Tariff'!$B$8/SQRT(3)*'Settings &amp; Tariff'!$B$9)))</f>
        <v>11.7843286694977</v>
      </c>
      <c r="O18" s="22" t="n">
        <f aca="false">IF(B18="","",K18*G18)</f>
        <v>187.2</v>
      </c>
      <c r="P18" s="23" t="n">
        <f aca="false">IF(B18="","",IF($O$7=0,0,O18/$O$7*$P$7))</f>
        <v>59.1229977137326</v>
      </c>
      <c r="Q18" s="24"/>
    </row>
    <row r="19" customFormat="false" ht="15" hidden="false" customHeight="false" outlineLevel="0" collapsed="false">
      <c r="A19" s="16" t="n">
        <v>10</v>
      </c>
      <c r="B19" s="17" t="s">
        <v>55</v>
      </c>
      <c r="C19" s="17" t="s">
        <v>56</v>
      </c>
      <c r="D19" s="18" t="n">
        <v>6000</v>
      </c>
      <c r="E19" s="18" t="n">
        <v>1</v>
      </c>
      <c r="F19" s="19" t="n">
        <v>8</v>
      </c>
      <c r="G19" s="18" t="n">
        <v>26</v>
      </c>
      <c r="H19" s="20" t="n">
        <v>0.85</v>
      </c>
      <c r="I19" s="17" t="s">
        <v>35</v>
      </c>
      <c r="J19" s="17" t="s">
        <v>40</v>
      </c>
      <c r="K19" s="21" t="n">
        <f aca="false">IF(B19="","",D19*E19*H19*F19/1000)</f>
        <v>40.8</v>
      </c>
      <c r="L19" s="21" t="n">
        <f aca="false">IF(B19="","",D19*E19/1000)</f>
        <v>6</v>
      </c>
      <c r="M19" s="21" t="n">
        <f aca="false">IF(B19="","",IF(UPPER(I19)="Y",L19*H19,0))</f>
        <v>5.1</v>
      </c>
      <c r="N19" s="21" t="n">
        <f aca="false">IF(B19="","",IF(J19="3P",L19*H19*1000/(SQRT(3)*'Settings &amp; Tariff'!$B$8*'Settings &amp; Tariff'!$B$9),L19*H19*1000/('Settings &amp; Tariff'!$B$8/SQRT(3)*'Settings &amp; Tariff'!$B$9)))</f>
        <v>8.34723280756085</v>
      </c>
      <c r="O19" s="22" t="n">
        <f aca="false">IF(B19="","",K19*G19)</f>
        <v>1060.8</v>
      </c>
      <c r="P19" s="23" t="n">
        <f aca="false">IF(B19="","",IF($O$7=0,0,O19/$O$7*$P$7))</f>
        <v>335.030320377818</v>
      </c>
      <c r="Q19" s="24"/>
    </row>
    <row r="20" customFormat="false" ht="15" hidden="false" customHeight="false" outlineLevel="0" collapsed="false">
      <c r="A20" s="16" t="n">
        <v>11</v>
      </c>
      <c r="B20" s="17" t="s">
        <v>57</v>
      </c>
      <c r="C20" s="17" t="s">
        <v>56</v>
      </c>
      <c r="D20" s="18" t="n">
        <v>750</v>
      </c>
      <c r="E20" s="18" t="n">
        <v>2</v>
      </c>
      <c r="F20" s="19" t="n">
        <v>1</v>
      </c>
      <c r="G20" s="18" t="n">
        <v>26</v>
      </c>
      <c r="H20" s="20" t="n">
        <v>1</v>
      </c>
      <c r="I20" s="17" t="s">
        <v>53</v>
      </c>
      <c r="J20" s="17" t="s">
        <v>40</v>
      </c>
      <c r="K20" s="21" t="n">
        <f aca="false">IF(B20="","",D20*E20*H20*F20/1000)</f>
        <v>1.5</v>
      </c>
      <c r="L20" s="21" t="n">
        <f aca="false">IF(B20="","",D20*E20/1000)</f>
        <v>1.5</v>
      </c>
      <c r="M20" s="21" t="n">
        <f aca="false">IF(B20="","",IF(UPPER(I20)="Y",L20*H20,0))</f>
        <v>0</v>
      </c>
      <c r="N20" s="21" t="n">
        <f aca="false">IF(B20="","",IF(J20="3P",L20*H20*1000/(SQRT(3)*'Settings &amp; Tariff'!$B$8*'Settings &amp; Tariff'!$B$9),L20*H20*1000/('Settings &amp; Tariff'!$B$8/SQRT(3)*'Settings &amp; Tariff'!$B$9)))</f>
        <v>2.45506847281202</v>
      </c>
      <c r="O20" s="22" t="n">
        <f aca="false">IF(B20="","",K20*G20)</f>
        <v>39</v>
      </c>
      <c r="P20" s="23" t="n">
        <f aca="false">IF(B20="","",IF($O$7=0,0,O20/$O$7*$P$7))</f>
        <v>12.317291190361</v>
      </c>
      <c r="Q20" s="24"/>
    </row>
    <row r="21" customFormat="false" ht="15" hidden="false" customHeight="false" outlineLevel="0" collapsed="false">
      <c r="A21" s="16" t="n">
        <v>12</v>
      </c>
      <c r="B21" s="17" t="s">
        <v>58</v>
      </c>
      <c r="C21" s="17" t="s">
        <v>59</v>
      </c>
      <c r="D21" s="18" t="n">
        <v>300</v>
      </c>
      <c r="E21" s="18" t="n">
        <v>1</v>
      </c>
      <c r="F21" s="19" t="n">
        <v>24</v>
      </c>
      <c r="G21" s="18" t="n">
        <v>30</v>
      </c>
      <c r="H21" s="20" t="n">
        <v>1</v>
      </c>
      <c r="I21" s="17" t="s">
        <v>35</v>
      </c>
      <c r="J21" s="17" t="s">
        <v>47</v>
      </c>
      <c r="K21" s="21" t="n">
        <f aca="false">IF(B21="","",D21*E21*H21*F21/1000)</f>
        <v>7.2</v>
      </c>
      <c r="L21" s="21" t="n">
        <f aca="false">IF(B21="","",D21*E21/1000)</f>
        <v>0.3</v>
      </c>
      <c r="M21" s="21" t="n">
        <f aca="false">IF(B21="","",IF(UPPER(I21)="Y",L21*H21,0))</f>
        <v>0.3</v>
      </c>
      <c r="N21" s="21" t="n">
        <f aca="false">IF(B21="","",IF(J21="3P",L21*H21*1000/(SQRT(3)*'Settings &amp; Tariff'!$B$8*'Settings &amp; Tariff'!$B$9),L21*H21*1000/('Settings &amp; Tariff'!$B$8/SQRT(3)*'Settings &amp; Tariff'!$B$9)))</f>
        <v>1.47304108368721</v>
      </c>
      <c r="O21" s="22" t="n">
        <f aca="false">IF(B21="","",K21*G21)</f>
        <v>216</v>
      </c>
      <c r="P21" s="23" t="n">
        <f aca="false">IF(B21="","",IF($O$7=0,0,O21/$O$7*$P$7))</f>
        <v>68.2188435158453</v>
      </c>
      <c r="Q21" s="24" t="s">
        <v>60</v>
      </c>
    </row>
    <row r="22" customFormat="false" ht="15" hidden="false" customHeight="false" outlineLevel="0" collapsed="false">
      <c r="A22" s="16" t="n">
        <v>13</v>
      </c>
      <c r="B22" s="17" t="s">
        <v>61</v>
      </c>
      <c r="C22" s="17" t="s">
        <v>56</v>
      </c>
      <c r="D22" s="18" t="n">
        <v>750</v>
      </c>
      <c r="E22" s="18" t="n">
        <v>1</v>
      </c>
      <c r="F22" s="19" t="n">
        <v>2</v>
      </c>
      <c r="G22" s="18" t="n">
        <v>30</v>
      </c>
      <c r="H22" s="20" t="n">
        <v>0.9</v>
      </c>
      <c r="I22" s="17" t="s">
        <v>53</v>
      </c>
      <c r="J22" s="17" t="s">
        <v>36</v>
      </c>
      <c r="K22" s="21" t="n">
        <f aca="false">IF(B22="","",D22*E22*H22*F22/1000)</f>
        <v>1.35</v>
      </c>
      <c r="L22" s="21" t="n">
        <f aca="false">IF(B22="","",D22*E22/1000)</f>
        <v>0.75</v>
      </c>
      <c r="M22" s="21" t="n">
        <f aca="false">IF(B22="","",IF(UPPER(I22)="Y",L22*H22,0))</f>
        <v>0</v>
      </c>
      <c r="N22" s="21" t="n">
        <f aca="false">IF(B22="","",IF(J22="3P",L22*H22*1000/(SQRT(3)*'Settings &amp; Tariff'!$B$8*'Settings &amp; Tariff'!$B$9),L22*H22*1000/('Settings &amp; Tariff'!$B$8/SQRT(3)*'Settings &amp; Tariff'!$B$9)))</f>
        <v>3.31434243829622</v>
      </c>
      <c r="O22" s="22" t="n">
        <f aca="false">IF(B22="","",K22*G22)</f>
        <v>40.5</v>
      </c>
      <c r="P22" s="23" t="n">
        <f aca="false">IF(B22="","",IF($O$7=0,0,O22/$O$7*$P$7))</f>
        <v>12.791033159221</v>
      </c>
      <c r="Q22" s="24"/>
    </row>
    <row r="23" customFormat="false" ht="15" hidden="false" customHeight="false" outlineLevel="0" collapsed="false">
      <c r="A23" s="16" t="n">
        <v>14</v>
      </c>
      <c r="B23" s="17"/>
      <c r="C23" s="17"/>
      <c r="D23" s="18"/>
      <c r="E23" s="18"/>
      <c r="F23" s="19"/>
      <c r="G23" s="18" t="str">
        <f aca="false">IF(B23="","",'Settings &amp; Tariff'!$B$22)</f>
        <v/>
      </c>
      <c r="H23" s="20" t="str">
        <f aca="false">IF(B23="","",1)</f>
        <v/>
      </c>
      <c r="I23" s="17" t="str">
        <f aca="false">IF(B23="","","Y")</f>
        <v/>
      </c>
      <c r="J23" s="17" t="str">
        <f aca="false">IF(B23="","","R")</f>
        <v/>
      </c>
      <c r="K23" s="21" t="str">
        <f aca="false">IF(B23="","",D23*E23*H23*F23/1000)</f>
        <v/>
      </c>
      <c r="L23" s="21" t="str">
        <f aca="false">IF(B23="","",D23*E23/1000)</f>
        <v/>
      </c>
      <c r="M23" s="21" t="str">
        <f aca="false">IF(B23="","",IF(UPPER(I23)="Y",L23*H23,0))</f>
        <v/>
      </c>
      <c r="N23" s="21" t="str">
        <f aca="false">IF(B23="","",IF(J23="3P",L23*H23*1000/(SQRT(3)*'Settings &amp; Tariff'!$B$8*'Settings &amp; Tariff'!$B$9),L23*H23*1000/('Settings &amp; Tariff'!$B$8/SQRT(3)*'Settings &amp; Tariff'!$B$9)))</f>
        <v/>
      </c>
      <c r="O23" s="22" t="str">
        <f aca="false">IF(B23="","",K23*G23)</f>
        <v/>
      </c>
      <c r="P23" s="23" t="str">
        <f aca="false">IF(B23="","",IF($O$7=0,0,O23/$O$7*$P$7))</f>
        <v/>
      </c>
      <c r="Q23" s="16"/>
    </row>
    <row r="24" customFormat="false" ht="15" hidden="false" customHeight="false" outlineLevel="0" collapsed="false">
      <c r="A24" s="16" t="n">
        <v>15</v>
      </c>
      <c r="B24" s="17"/>
      <c r="C24" s="17"/>
      <c r="D24" s="18"/>
      <c r="E24" s="18"/>
      <c r="F24" s="19"/>
      <c r="G24" s="18" t="str">
        <f aca="false">IF(B24="","",'Settings &amp; Tariff'!$B$22)</f>
        <v/>
      </c>
      <c r="H24" s="20" t="str">
        <f aca="false">IF(B24="","",1)</f>
        <v/>
      </c>
      <c r="I24" s="17" t="str">
        <f aca="false">IF(B24="","","Y")</f>
        <v/>
      </c>
      <c r="J24" s="17" t="str">
        <f aca="false">IF(B24="","","R")</f>
        <v/>
      </c>
      <c r="K24" s="21" t="str">
        <f aca="false">IF(B24="","",D24*E24*H24*F24/1000)</f>
        <v/>
      </c>
      <c r="L24" s="21" t="str">
        <f aca="false">IF(B24="","",D24*E24/1000)</f>
        <v/>
      </c>
      <c r="M24" s="21" t="str">
        <f aca="false">IF(B24="","",IF(UPPER(I24)="Y",L24*H24,0))</f>
        <v/>
      </c>
      <c r="N24" s="21" t="str">
        <f aca="false">IF(B24="","",IF(J24="3P",L24*H24*1000/(SQRT(3)*'Settings &amp; Tariff'!$B$8*'Settings &amp; Tariff'!$B$9),L24*H24*1000/('Settings &amp; Tariff'!$B$8/SQRT(3)*'Settings &amp; Tariff'!$B$9)))</f>
        <v/>
      </c>
      <c r="O24" s="22" t="str">
        <f aca="false">IF(B24="","",K24*G24)</f>
        <v/>
      </c>
      <c r="P24" s="23" t="str">
        <f aca="false">IF(B24="","",IF($O$7=0,0,O24/$O$7*$P$7))</f>
        <v/>
      </c>
      <c r="Q24" s="16"/>
    </row>
    <row r="25" customFormat="false" ht="15" hidden="false" customHeight="false" outlineLevel="0" collapsed="false">
      <c r="A25" s="16" t="n">
        <v>16</v>
      </c>
      <c r="B25" s="17"/>
      <c r="C25" s="17"/>
      <c r="D25" s="18"/>
      <c r="E25" s="18"/>
      <c r="F25" s="19"/>
      <c r="G25" s="18" t="str">
        <f aca="false">IF(B25="","",'Settings &amp; Tariff'!$B$22)</f>
        <v/>
      </c>
      <c r="H25" s="20" t="str">
        <f aca="false">IF(B25="","",1)</f>
        <v/>
      </c>
      <c r="I25" s="17" t="str">
        <f aca="false">IF(B25="","","Y")</f>
        <v/>
      </c>
      <c r="J25" s="17" t="str">
        <f aca="false">IF(B25="","","R")</f>
        <v/>
      </c>
      <c r="K25" s="21" t="str">
        <f aca="false">IF(B25="","",D25*E25*H25*F25/1000)</f>
        <v/>
      </c>
      <c r="L25" s="21" t="str">
        <f aca="false">IF(B25="","",D25*E25/1000)</f>
        <v/>
      </c>
      <c r="M25" s="21" t="str">
        <f aca="false">IF(B25="","",IF(UPPER(I25)="Y",L25*H25,0))</f>
        <v/>
      </c>
      <c r="N25" s="21" t="str">
        <f aca="false">IF(B25="","",IF(J25="3P",L25*H25*1000/(SQRT(3)*'Settings &amp; Tariff'!$B$8*'Settings &amp; Tariff'!$B$9),L25*H25*1000/('Settings &amp; Tariff'!$B$8/SQRT(3)*'Settings &amp; Tariff'!$B$9)))</f>
        <v/>
      </c>
      <c r="O25" s="22" t="str">
        <f aca="false">IF(B25="","",K25*G25)</f>
        <v/>
      </c>
      <c r="P25" s="23" t="str">
        <f aca="false">IF(B25="","",IF($O$7=0,0,O25/$O$7*$P$7))</f>
        <v/>
      </c>
      <c r="Q25" s="16"/>
    </row>
    <row r="26" customFormat="false" ht="15" hidden="false" customHeight="false" outlineLevel="0" collapsed="false">
      <c r="A26" s="16" t="n">
        <v>17</v>
      </c>
      <c r="B26" s="17"/>
      <c r="C26" s="17"/>
      <c r="D26" s="18"/>
      <c r="E26" s="18"/>
      <c r="F26" s="19"/>
      <c r="G26" s="18" t="str">
        <f aca="false">IF(B26="","",'Settings &amp; Tariff'!$B$22)</f>
        <v/>
      </c>
      <c r="H26" s="20" t="str">
        <f aca="false">IF(B26="","",1)</f>
        <v/>
      </c>
      <c r="I26" s="17" t="str">
        <f aca="false">IF(B26="","","Y")</f>
        <v/>
      </c>
      <c r="J26" s="17" t="str">
        <f aca="false">IF(B26="","","R")</f>
        <v/>
      </c>
      <c r="K26" s="21" t="str">
        <f aca="false">IF(B26="","",D26*E26*H26*F26/1000)</f>
        <v/>
      </c>
      <c r="L26" s="21" t="str">
        <f aca="false">IF(B26="","",D26*E26/1000)</f>
        <v/>
      </c>
      <c r="M26" s="21" t="str">
        <f aca="false">IF(B26="","",IF(UPPER(I26)="Y",L26*H26,0))</f>
        <v/>
      </c>
      <c r="N26" s="21" t="str">
        <f aca="false">IF(B26="","",IF(J26="3P",L26*H26*1000/(SQRT(3)*'Settings &amp; Tariff'!$B$8*'Settings &amp; Tariff'!$B$9),L26*H26*1000/('Settings &amp; Tariff'!$B$8/SQRT(3)*'Settings &amp; Tariff'!$B$9)))</f>
        <v/>
      </c>
      <c r="O26" s="22" t="str">
        <f aca="false">IF(B26="","",K26*G26)</f>
        <v/>
      </c>
      <c r="P26" s="23" t="str">
        <f aca="false">IF(B26="","",IF($O$7=0,0,O26/$O$7*$P$7))</f>
        <v/>
      </c>
      <c r="Q26" s="16"/>
    </row>
    <row r="27" customFormat="false" ht="15" hidden="false" customHeight="false" outlineLevel="0" collapsed="false">
      <c r="A27" s="16" t="n">
        <v>18</v>
      </c>
      <c r="B27" s="17"/>
      <c r="C27" s="17"/>
      <c r="D27" s="18"/>
      <c r="E27" s="18"/>
      <c r="F27" s="19"/>
      <c r="G27" s="18" t="str">
        <f aca="false">IF(B27="","",'Settings &amp; Tariff'!$B$22)</f>
        <v/>
      </c>
      <c r="H27" s="20" t="str">
        <f aca="false">IF(B27="","",1)</f>
        <v/>
      </c>
      <c r="I27" s="17" t="str">
        <f aca="false">IF(B27="","","Y")</f>
        <v/>
      </c>
      <c r="J27" s="17" t="str">
        <f aca="false">IF(B27="","","R")</f>
        <v/>
      </c>
      <c r="K27" s="21" t="str">
        <f aca="false">IF(B27="","",D27*E27*H27*F27/1000)</f>
        <v/>
      </c>
      <c r="L27" s="21" t="str">
        <f aca="false">IF(B27="","",D27*E27/1000)</f>
        <v/>
      </c>
      <c r="M27" s="21" t="str">
        <f aca="false">IF(B27="","",IF(UPPER(I27)="Y",L27*H27,0))</f>
        <v/>
      </c>
      <c r="N27" s="21" t="str">
        <f aca="false">IF(B27="","",IF(J27="3P",L27*H27*1000/(SQRT(3)*'Settings &amp; Tariff'!$B$8*'Settings &amp; Tariff'!$B$9),L27*H27*1000/('Settings &amp; Tariff'!$B$8/SQRT(3)*'Settings &amp; Tariff'!$B$9)))</f>
        <v/>
      </c>
      <c r="O27" s="22" t="str">
        <f aca="false">IF(B27="","",K27*G27)</f>
        <v/>
      </c>
      <c r="P27" s="23" t="str">
        <f aca="false">IF(B27="","",IF($O$7=0,0,O27/$O$7*$P$7))</f>
        <v/>
      </c>
      <c r="Q27" s="16"/>
    </row>
    <row r="28" customFormat="false" ht="15" hidden="false" customHeight="false" outlineLevel="0" collapsed="false">
      <c r="A28" s="16" t="n">
        <v>19</v>
      </c>
      <c r="B28" s="17"/>
      <c r="C28" s="17"/>
      <c r="D28" s="18"/>
      <c r="E28" s="18"/>
      <c r="F28" s="19"/>
      <c r="G28" s="18" t="str">
        <f aca="false">IF(B28="","",'Settings &amp; Tariff'!$B$22)</f>
        <v/>
      </c>
      <c r="H28" s="20" t="str">
        <f aca="false">IF(B28="","",1)</f>
        <v/>
      </c>
      <c r="I28" s="17" t="str">
        <f aca="false">IF(B28="","","Y")</f>
        <v/>
      </c>
      <c r="J28" s="17" t="str">
        <f aca="false">IF(B28="","","R")</f>
        <v/>
      </c>
      <c r="K28" s="21" t="str">
        <f aca="false">IF(B28="","",D28*E28*H28*F28/1000)</f>
        <v/>
      </c>
      <c r="L28" s="21" t="str">
        <f aca="false">IF(B28="","",D28*E28/1000)</f>
        <v/>
      </c>
      <c r="M28" s="21" t="str">
        <f aca="false">IF(B28="","",IF(UPPER(I28)="Y",L28*H28,0))</f>
        <v/>
      </c>
      <c r="N28" s="21" t="str">
        <f aca="false">IF(B28="","",IF(J28="3P",L28*H28*1000/(SQRT(3)*'Settings &amp; Tariff'!$B$8*'Settings &amp; Tariff'!$B$9),L28*H28*1000/('Settings &amp; Tariff'!$B$8/SQRT(3)*'Settings &amp; Tariff'!$B$9)))</f>
        <v/>
      </c>
      <c r="O28" s="22" t="str">
        <f aca="false">IF(B28="","",K28*G28)</f>
        <v/>
      </c>
      <c r="P28" s="23" t="str">
        <f aca="false">IF(B28="","",IF($O$7=0,0,O28/$O$7*$P$7))</f>
        <v/>
      </c>
      <c r="Q28" s="16"/>
    </row>
    <row r="29" customFormat="false" ht="15" hidden="false" customHeight="false" outlineLevel="0" collapsed="false">
      <c r="A29" s="16" t="n">
        <v>20</v>
      </c>
      <c r="B29" s="17"/>
      <c r="C29" s="17"/>
      <c r="D29" s="18"/>
      <c r="E29" s="18"/>
      <c r="F29" s="19"/>
      <c r="G29" s="18" t="str">
        <f aca="false">IF(B29="","",'Settings &amp; Tariff'!$B$22)</f>
        <v/>
      </c>
      <c r="H29" s="20" t="str">
        <f aca="false">IF(B29="","",1)</f>
        <v/>
      </c>
      <c r="I29" s="17" t="str">
        <f aca="false">IF(B29="","","Y")</f>
        <v/>
      </c>
      <c r="J29" s="17" t="str">
        <f aca="false">IF(B29="","","R")</f>
        <v/>
      </c>
      <c r="K29" s="21" t="str">
        <f aca="false">IF(B29="","",D29*E29*H29*F29/1000)</f>
        <v/>
      </c>
      <c r="L29" s="21" t="str">
        <f aca="false">IF(B29="","",D29*E29/1000)</f>
        <v/>
      </c>
      <c r="M29" s="21" t="str">
        <f aca="false">IF(B29="","",IF(UPPER(I29)="Y",L29*H29,0))</f>
        <v/>
      </c>
      <c r="N29" s="21" t="str">
        <f aca="false">IF(B29="","",IF(J29="3P",L29*H29*1000/(SQRT(3)*'Settings &amp; Tariff'!$B$8*'Settings &amp; Tariff'!$B$9),L29*H29*1000/('Settings &amp; Tariff'!$B$8/SQRT(3)*'Settings &amp; Tariff'!$B$9)))</f>
        <v/>
      </c>
      <c r="O29" s="22" t="str">
        <f aca="false">IF(B29="","",K29*G29)</f>
        <v/>
      </c>
      <c r="P29" s="23" t="str">
        <f aca="false">IF(B29="","",IF($O$7=0,0,O29/$O$7*$P$7))</f>
        <v/>
      </c>
      <c r="Q29" s="16"/>
    </row>
    <row r="30" customFormat="false" ht="15" hidden="false" customHeight="false" outlineLevel="0" collapsed="false">
      <c r="A30" s="16" t="n">
        <v>21</v>
      </c>
      <c r="B30" s="17"/>
      <c r="C30" s="17"/>
      <c r="D30" s="18"/>
      <c r="E30" s="18"/>
      <c r="F30" s="19"/>
      <c r="G30" s="18" t="str">
        <f aca="false">IF(B30="","",'Settings &amp; Tariff'!$B$22)</f>
        <v/>
      </c>
      <c r="H30" s="20" t="str">
        <f aca="false">IF(B30="","",1)</f>
        <v/>
      </c>
      <c r="I30" s="17" t="str">
        <f aca="false">IF(B30="","","Y")</f>
        <v/>
      </c>
      <c r="J30" s="17" t="str">
        <f aca="false">IF(B30="","","R")</f>
        <v/>
      </c>
      <c r="K30" s="21" t="str">
        <f aca="false">IF(B30="","",D30*E30*H30*F30/1000)</f>
        <v/>
      </c>
      <c r="L30" s="21" t="str">
        <f aca="false">IF(B30="","",D30*E30/1000)</f>
        <v/>
      </c>
      <c r="M30" s="21" t="str">
        <f aca="false">IF(B30="","",IF(UPPER(I30)="Y",L30*H30,0))</f>
        <v/>
      </c>
      <c r="N30" s="21" t="str">
        <f aca="false">IF(B30="","",IF(J30="3P",L30*H30*1000/(SQRT(3)*'Settings &amp; Tariff'!$B$8*'Settings &amp; Tariff'!$B$9),L30*H30*1000/('Settings &amp; Tariff'!$B$8/SQRT(3)*'Settings &amp; Tariff'!$B$9)))</f>
        <v/>
      </c>
      <c r="O30" s="22" t="str">
        <f aca="false">IF(B30="","",K30*G30)</f>
        <v/>
      </c>
      <c r="P30" s="23" t="str">
        <f aca="false">IF(B30="","",IF($O$7=0,0,O30/$O$7*$P$7))</f>
        <v/>
      </c>
      <c r="Q30" s="16"/>
    </row>
    <row r="31" customFormat="false" ht="15" hidden="false" customHeight="false" outlineLevel="0" collapsed="false">
      <c r="A31" s="16" t="n">
        <v>22</v>
      </c>
      <c r="B31" s="17"/>
      <c r="C31" s="17"/>
      <c r="D31" s="18"/>
      <c r="E31" s="18"/>
      <c r="F31" s="19"/>
      <c r="G31" s="18" t="str">
        <f aca="false">IF(B31="","",'Settings &amp; Tariff'!$B$22)</f>
        <v/>
      </c>
      <c r="H31" s="20" t="str">
        <f aca="false">IF(B31="","",1)</f>
        <v/>
      </c>
      <c r="I31" s="17" t="str">
        <f aca="false">IF(B31="","","Y")</f>
        <v/>
      </c>
      <c r="J31" s="17" t="str">
        <f aca="false">IF(B31="","","R")</f>
        <v/>
      </c>
      <c r="K31" s="21" t="str">
        <f aca="false">IF(B31="","",D31*E31*H31*F31/1000)</f>
        <v/>
      </c>
      <c r="L31" s="21" t="str">
        <f aca="false">IF(B31="","",D31*E31/1000)</f>
        <v/>
      </c>
      <c r="M31" s="21" t="str">
        <f aca="false">IF(B31="","",IF(UPPER(I31)="Y",L31*H31,0))</f>
        <v/>
      </c>
      <c r="N31" s="21" t="str">
        <f aca="false">IF(B31="","",IF(J31="3P",L31*H31*1000/(SQRT(3)*'Settings &amp; Tariff'!$B$8*'Settings &amp; Tariff'!$B$9),L31*H31*1000/('Settings &amp; Tariff'!$B$8/SQRT(3)*'Settings &amp; Tariff'!$B$9)))</f>
        <v/>
      </c>
      <c r="O31" s="22" t="str">
        <f aca="false">IF(B31="","",K31*G31)</f>
        <v/>
      </c>
      <c r="P31" s="23" t="str">
        <f aca="false">IF(B31="","",IF($O$7=0,0,O31/$O$7*$P$7))</f>
        <v/>
      </c>
      <c r="Q31" s="16"/>
    </row>
    <row r="32" customFormat="false" ht="15" hidden="false" customHeight="false" outlineLevel="0" collapsed="false">
      <c r="A32" s="16" t="n">
        <v>23</v>
      </c>
      <c r="B32" s="17"/>
      <c r="C32" s="17"/>
      <c r="D32" s="18"/>
      <c r="E32" s="18"/>
      <c r="F32" s="19"/>
      <c r="G32" s="18" t="str">
        <f aca="false">IF(B32="","",'Settings &amp; Tariff'!$B$22)</f>
        <v/>
      </c>
      <c r="H32" s="20" t="str">
        <f aca="false">IF(B32="","",1)</f>
        <v/>
      </c>
      <c r="I32" s="17" t="str">
        <f aca="false">IF(B32="","","Y")</f>
        <v/>
      </c>
      <c r="J32" s="17" t="str">
        <f aca="false">IF(B32="","","R")</f>
        <v/>
      </c>
      <c r="K32" s="21" t="str">
        <f aca="false">IF(B32="","",D32*E32*H32*F32/1000)</f>
        <v/>
      </c>
      <c r="L32" s="21" t="str">
        <f aca="false">IF(B32="","",D32*E32/1000)</f>
        <v/>
      </c>
      <c r="M32" s="21" t="str">
        <f aca="false">IF(B32="","",IF(UPPER(I32)="Y",L32*H32,0))</f>
        <v/>
      </c>
      <c r="N32" s="21" t="str">
        <f aca="false">IF(B32="","",IF(J32="3P",L32*H32*1000/(SQRT(3)*'Settings &amp; Tariff'!$B$8*'Settings &amp; Tariff'!$B$9),L32*H32*1000/('Settings &amp; Tariff'!$B$8/SQRT(3)*'Settings &amp; Tariff'!$B$9)))</f>
        <v/>
      </c>
      <c r="O32" s="22" t="str">
        <f aca="false">IF(B32="","",K32*G32)</f>
        <v/>
      </c>
      <c r="P32" s="23" t="str">
        <f aca="false">IF(B32="","",IF($O$7=0,0,O32/$O$7*$P$7))</f>
        <v/>
      </c>
      <c r="Q32" s="16"/>
    </row>
    <row r="33" customFormat="false" ht="15" hidden="false" customHeight="false" outlineLevel="0" collapsed="false">
      <c r="A33" s="16" t="n">
        <v>24</v>
      </c>
      <c r="B33" s="17"/>
      <c r="C33" s="17"/>
      <c r="D33" s="18"/>
      <c r="E33" s="18"/>
      <c r="F33" s="19"/>
      <c r="G33" s="18" t="str">
        <f aca="false">IF(B33="","",'Settings &amp; Tariff'!$B$22)</f>
        <v/>
      </c>
      <c r="H33" s="20" t="str">
        <f aca="false">IF(B33="","",1)</f>
        <v/>
      </c>
      <c r="I33" s="17" t="str">
        <f aca="false">IF(B33="","","Y")</f>
        <v/>
      </c>
      <c r="J33" s="17" t="str">
        <f aca="false">IF(B33="","","R")</f>
        <v/>
      </c>
      <c r="K33" s="21" t="str">
        <f aca="false">IF(B33="","",D33*E33*H33*F33/1000)</f>
        <v/>
      </c>
      <c r="L33" s="21" t="str">
        <f aca="false">IF(B33="","",D33*E33/1000)</f>
        <v/>
      </c>
      <c r="M33" s="21" t="str">
        <f aca="false">IF(B33="","",IF(UPPER(I33)="Y",L33*H33,0))</f>
        <v/>
      </c>
      <c r="N33" s="21" t="str">
        <f aca="false">IF(B33="","",IF(J33="3P",L33*H33*1000/(SQRT(3)*'Settings &amp; Tariff'!$B$8*'Settings &amp; Tariff'!$B$9),L33*H33*1000/('Settings &amp; Tariff'!$B$8/SQRT(3)*'Settings &amp; Tariff'!$B$9)))</f>
        <v/>
      </c>
      <c r="O33" s="22" t="str">
        <f aca="false">IF(B33="","",K33*G33)</f>
        <v/>
      </c>
      <c r="P33" s="23" t="str">
        <f aca="false">IF(B33="","",IF($O$7=0,0,O33/$O$7*$P$7))</f>
        <v/>
      </c>
      <c r="Q33" s="16"/>
    </row>
    <row r="34" customFormat="false" ht="15" hidden="false" customHeight="false" outlineLevel="0" collapsed="false">
      <c r="A34" s="16" t="n">
        <v>25</v>
      </c>
      <c r="B34" s="17"/>
      <c r="C34" s="17"/>
      <c r="D34" s="18"/>
      <c r="E34" s="18"/>
      <c r="F34" s="19"/>
      <c r="G34" s="18" t="str">
        <f aca="false">IF(B34="","",'Settings &amp; Tariff'!$B$22)</f>
        <v/>
      </c>
      <c r="H34" s="20" t="str">
        <f aca="false">IF(B34="","",1)</f>
        <v/>
      </c>
      <c r="I34" s="17" t="str">
        <f aca="false">IF(B34="","","Y")</f>
        <v/>
      </c>
      <c r="J34" s="17" t="str">
        <f aca="false">IF(B34="","","R")</f>
        <v/>
      </c>
      <c r="K34" s="21" t="str">
        <f aca="false">IF(B34="","",D34*E34*H34*F34/1000)</f>
        <v/>
      </c>
      <c r="L34" s="21" t="str">
        <f aca="false">IF(B34="","",D34*E34/1000)</f>
        <v/>
      </c>
      <c r="M34" s="21" t="str">
        <f aca="false">IF(B34="","",IF(UPPER(I34)="Y",L34*H34,0))</f>
        <v/>
      </c>
      <c r="N34" s="21" t="str">
        <f aca="false">IF(B34="","",IF(J34="3P",L34*H34*1000/(SQRT(3)*'Settings &amp; Tariff'!$B$8*'Settings &amp; Tariff'!$B$9),L34*H34*1000/('Settings &amp; Tariff'!$B$8/SQRT(3)*'Settings &amp; Tariff'!$B$9)))</f>
        <v/>
      </c>
      <c r="O34" s="22" t="str">
        <f aca="false">IF(B34="","",K34*G34)</f>
        <v/>
      </c>
      <c r="P34" s="23" t="str">
        <f aca="false">IF(B34="","",IF($O$7=0,0,O34/$O$7*$P$7))</f>
        <v/>
      </c>
      <c r="Q34" s="16"/>
    </row>
    <row r="35" customFormat="false" ht="15" hidden="false" customHeight="false" outlineLevel="0" collapsed="false">
      <c r="A35" s="16" t="n">
        <v>26</v>
      </c>
      <c r="B35" s="17"/>
      <c r="C35" s="17"/>
      <c r="D35" s="18"/>
      <c r="E35" s="18"/>
      <c r="F35" s="19"/>
      <c r="G35" s="18" t="str">
        <f aca="false">IF(B35="","",'Settings &amp; Tariff'!$B$22)</f>
        <v/>
      </c>
      <c r="H35" s="20" t="str">
        <f aca="false">IF(B35="","",1)</f>
        <v/>
      </c>
      <c r="I35" s="17" t="str">
        <f aca="false">IF(B35="","","Y")</f>
        <v/>
      </c>
      <c r="J35" s="17" t="str">
        <f aca="false">IF(B35="","","R")</f>
        <v/>
      </c>
      <c r="K35" s="21" t="str">
        <f aca="false">IF(B35="","",D35*E35*H35*F35/1000)</f>
        <v/>
      </c>
      <c r="L35" s="21" t="str">
        <f aca="false">IF(B35="","",D35*E35/1000)</f>
        <v/>
      </c>
      <c r="M35" s="21" t="str">
        <f aca="false">IF(B35="","",IF(UPPER(I35)="Y",L35*H35,0))</f>
        <v/>
      </c>
      <c r="N35" s="21" t="str">
        <f aca="false">IF(B35="","",IF(J35="3P",L35*H35*1000/(SQRT(3)*'Settings &amp; Tariff'!$B$8*'Settings &amp; Tariff'!$B$9),L35*H35*1000/('Settings &amp; Tariff'!$B$8/SQRT(3)*'Settings &amp; Tariff'!$B$9)))</f>
        <v/>
      </c>
      <c r="O35" s="22" t="str">
        <f aca="false">IF(B35="","",K35*G35)</f>
        <v/>
      </c>
      <c r="P35" s="23" t="str">
        <f aca="false">IF(B35="","",IF($O$7=0,0,O35/$O$7*$P$7))</f>
        <v/>
      </c>
      <c r="Q35" s="16"/>
    </row>
    <row r="36" customFormat="false" ht="15" hidden="false" customHeight="false" outlineLevel="0" collapsed="false">
      <c r="A36" s="16" t="n">
        <v>27</v>
      </c>
      <c r="B36" s="17"/>
      <c r="C36" s="17"/>
      <c r="D36" s="18"/>
      <c r="E36" s="18"/>
      <c r="F36" s="19"/>
      <c r="G36" s="18" t="str">
        <f aca="false">IF(B36="","",'Settings &amp; Tariff'!$B$22)</f>
        <v/>
      </c>
      <c r="H36" s="20" t="str">
        <f aca="false">IF(B36="","",1)</f>
        <v/>
      </c>
      <c r="I36" s="17" t="str">
        <f aca="false">IF(B36="","","Y")</f>
        <v/>
      </c>
      <c r="J36" s="17" t="str">
        <f aca="false">IF(B36="","","R")</f>
        <v/>
      </c>
      <c r="K36" s="21" t="str">
        <f aca="false">IF(B36="","",D36*E36*H36*F36/1000)</f>
        <v/>
      </c>
      <c r="L36" s="21" t="str">
        <f aca="false">IF(B36="","",D36*E36/1000)</f>
        <v/>
      </c>
      <c r="M36" s="21" t="str">
        <f aca="false">IF(B36="","",IF(UPPER(I36)="Y",L36*H36,0))</f>
        <v/>
      </c>
      <c r="N36" s="21" t="str">
        <f aca="false">IF(B36="","",IF(J36="3P",L36*H36*1000/(SQRT(3)*'Settings &amp; Tariff'!$B$8*'Settings &amp; Tariff'!$B$9),L36*H36*1000/('Settings &amp; Tariff'!$B$8/SQRT(3)*'Settings &amp; Tariff'!$B$9)))</f>
        <v/>
      </c>
      <c r="O36" s="22" t="str">
        <f aca="false">IF(B36="","",K36*G36)</f>
        <v/>
      </c>
      <c r="P36" s="23" t="str">
        <f aca="false">IF(B36="","",IF($O$7=0,0,O36/$O$7*$P$7))</f>
        <v/>
      </c>
      <c r="Q36" s="16"/>
    </row>
    <row r="37" customFormat="false" ht="15" hidden="false" customHeight="false" outlineLevel="0" collapsed="false">
      <c r="A37" s="16" t="n">
        <v>28</v>
      </c>
      <c r="B37" s="17"/>
      <c r="C37" s="17"/>
      <c r="D37" s="18"/>
      <c r="E37" s="18"/>
      <c r="F37" s="19"/>
      <c r="G37" s="18" t="str">
        <f aca="false">IF(B37="","",'Settings &amp; Tariff'!$B$22)</f>
        <v/>
      </c>
      <c r="H37" s="20" t="str">
        <f aca="false">IF(B37="","",1)</f>
        <v/>
      </c>
      <c r="I37" s="17" t="str">
        <f aca="false">IF(B37="","","Y")</f>
        <v/>
      </c>
      <c r="J37" s="17" t="str">
        <f aca="false">IF(B37="","","R")</f>
        <v/>
      </c>
      <c r="K37" s="21" t="str">
        <f aca="false">IF(B37="","",D37*E37*H37*F37/1000)</f>
        <v/>
      </c>
      <c r="L37" s="21" t="str">
        <f aca="false">IF(B37="","",D37*E37/1000)</f>
        <v/>
      </c>
      <c r="M37" s="21" t="str">
        <f aca="false">IF(B37="","",IF(UPPER(I37)="Y",L37*H37,0))</f>
        <v/>
      </c>
      <c r="N37" s="21" t="str">
        <f aca="false">IF(B37="","",IF(J37="3P",L37*H37*1000/(SQRT(3)*'Settings &amp; Tariff'!$B$8*'Settings &amp; Tariff'!$B$9),L37*H37*1000/('Settings &amp; Tariff'!$B$8/SQRT(3)*'Settings &amp; Tariff'!$B$9)))</f>
        <v/>
      </c>
      <c r="O37" s="22" t="str">
        <f aca="false">IF(B37="","",K37*G37)</f>
        <v/>
      </c>
      <c r="P37" s="23" t="str">
        <f aca="false">IF(B37="","",IF($O$7=0,0,O37/$O$7*$P$7))</f>
        <v/>
      </c>
      <c r="Q37" s="16"/>
    </row>
    <row r="38" customFormat="false" ht="15" hidden="false" customHeight="false" outlineLevel="0" collapsed="false">
      <c r="A38" s="16" t="n">
        <v>29</v>
      </c>
      <c r="B38" s="17"/>
      <c r="C38" s="17"/>
      <c r="D38" s="18"/>
      <c r="E38" s="18"/>
      <c r="F38" s="19"/>
      <c r="G38" s="18" t="str">
        <f aca="false">IF(B38="","",'Settings &amp; Tariff'!$B$22)</f>
        <v/>
      </c>
      <c r="H38" s="20" t="str">
        <f aca="false">IF(B38="","",1)</f>
        <v/>
      </c>
      <c r="I38" s="17" t="str">
        <f aca="false">IF(B38="","","Y")</f>
        <v/>
      </c>
      <c r="J38" s="17" t="str">
        <f aca="false">IF(B38="","","R")</f>
        <v/>
      </c>
      <c r="K38" s="21" t="str">
        <f aca="false">IF(B38="","",D38*E38*H38*F38/1000)</f>
        <v/>
      </c>
      <c r="L38" s="21" t="str">
        <f aca="false">IF(B38="","",D38*E38/1000)</f>
        <v/>
      </c>
      <c r="M38" s="21" t="str">
        <f aca="false">IF(B38="","",IF(UPPER(I38)="Y",L38*H38,0))</f>
        <v/>
      </c>
      <c r="N38" s="21" t="str">
        <f aca="false">IF(B38="","",IF(J38="3P",L38*H38*1000/(SQRT(3)*'Settings &amp; Tariff'!$B$8*'Settings &amp; Tariff'!$B$9),L38*H38*1000/('Settings &amp; Tariff'!$B$8/SQRT(3)*'Settings &amp; Tariff'!$B$9)))</f>
        <v/>
      </c>
      <c r="O38" s="22" t="str">
        <f aca="false">IF(B38="","",K38*G38)</f>
        <v/>
      </c>
      <c r="P38" s="23" t="str">
        <f aca="false">IF(B38="","",IF($O$7=0,0,O38/$O$7*$P$7))</f>
        <v/>
      </c>
      <c r="Q38" s="16"/>
    </row>
    <row r="39" customFormat="false" ht="15" hidden="false" customHeight="false" outlineLevel="0" collapsed="false">
      <c r="A39" s="16" t="n">
        <v>30</v>
      </c>
      <c r="B39" s="17"/>
      <c r="C39" s="17"/>
      <c r="D39" s="18"/>
      <c r="E39" s="18"/>
      <c r="F39" s="19"/>
      <c r="G39" s="18" t="str">
        <f aca="false">IF(B39="","",'Settings &amp; Tariff'!$B$22)</f>
        <v/>
      </c>
      <c r="H39" s="20" t="str">
        <f aca="false">IF(B39="","",1)</f>
        <v/>
      </c>
      <c r="I39" s="17" t="str">
        <f aca="false">IF(B39="","","Y")</f>
        <v/>
      </c>
      <c r="J39" s="17" t="str">
        <f aca="false">IF(B39="","","R")</f>
        <v/>
      </c>
      <c r="K39" s="21" t="str">
        <f aca="false">IF(B39="","",D39*E39*H39*F39/1000)</f>
        <v/>
      </c>
      <c r="L39" s="21" t="str">
        <f aca="false">IF(B39="","",D39*E39/1000)</f>
        <v/>
      </c>
      <c r="M39" s="21" t="str">
        <f aca="false">IF(B39="","",IF(UPPER(I39)="Y",L39*H39,0))</f>
        <v/>
      </c>
      <c r="N39" s="21" t="str">
        <f aca="false">IF(B39="","",IF(J39="3P",L39*H39*1000/(SQRT(3)*'Settings &amp; Tariff'!$B$8*'Settings &amp; Tariff'!$B$9),L39*H39*1000/('Settings &amp; Tariff'!$B$8/SQRT(3)*'Settings &amp; Tariff'!$B$9)))</f>
        <v/>
      </c>
      <c r="O39" s="22" t="str">
        <f aca="false">IF(B39="","",K39*G39)</f>
        <v/>
      </c>
      <c r="P39" s="23" t="str">
        <f aca="false">IF(B39="","",IF($O$7=0,0,O39/$O$7*$P$7))</f>
        <v/>
      </c>
      <c r="Q39" s="16"/>
    </row>
    <row r="40" customFormat="false" ht="15" hidden="false" customHeight="false" outlineLevel="0" collapsed="false">
      <c r="A40" s="25"/>
      <c r="B40" s="26" t="s">
        <v>62</v>
      </c>
      <c r="C40" s="25"/>
      <c r="D40" s="25"/>
      <c r="E40" s="25"/>
      <c r="F40" s="25"/>
      <c r="G40" s="25"/>
      <c r="H40" s="25"/>
      <c r="I40" s="25"/>
      <c r="J40" s="25"/>
      <c r="K40" s="11" t="n">
        <f aca="false">SUM(K10:K39)</f>
        <v>180.46</v>
      </c>
      <c r="L40" s="11" t="n">
        <f aca="false">SUM(L10:L39)</f>
        <v>29.39</v>
      </c>
      <c r="M40" s="11" t="n">
        <f aca="false">SUM(M10:M39)</f>
        <v>19.82</v>
      </c>
      <c r="N40" s="25"/>
      <c r="O40" s="13" t="n">
        <f aca="false">SUM(O10:O39)</f>
        <v>4793.84</v>
      </c>
      <c r="P40" s="14" t="n">
        <f aca="false">SUM(P10:P39)</f>
        <v>1514.0288</v>
      </c>
      <c r="Q40" s="25"/>
    </row>
    <row r="42" customFormat="false" ht="15" hidden="false" customHeight="false" outlineLevel="0" collapsed="false">
      <c r="B42" s="27" t="s">
        <v>63</v>
      </c>
    </row>
    <row r="43" customFormat="false" ht="24" hidden="false" customHeight="true" outlineLevel="0" collapsed="false">
      <c r="A43" s="15"/>
      <c r="B43" s="15" t="s">
        <v>19</v>
      </c>
      <c r="C43" s="15" t="s">
        <v>64</v>
      </c>
      <c r="D43" s="15"/>
      <c r="E43" s="15" t="s">
        <v>28</v>
      </c>
      <c r="F43" s="15"/>
      <c r="G43" s="15" t="s">
        <v>29</v>
      </c>
      <c r="H43" s="15"/>
      <c r="I43" s="15" t="s">
        <v>11</v>
      </c>
      <c r="J43" s="15"/>
      <c r="K43" s="15" t="s">
        <v>65</v>
      </c>
      <c r="L43" s="15" t="s">
        <v>31</v>
      </c>
    </row>
    <row r="44" customFormat="false" ht="15" hidden="false" customHeight="false" outlineLevel="0" collapsed="false">
      <c r="B44" s="4" t="s">
        <v>34</v>
      </c>
      <c r="C44" s="22" t="n">
        <f aca="false">COUNTIF(C10:C39,B44)</f>
        <v>1</v>
      </c>
      <c r="E44" s="21" t="n">
        <f aca="false">SUMIF(C10:C39,B44,L10:L39)</f>
        <v>0.5</v>
      </c>
      <c r="G44" s="21" t="n">
        <f aca="false">SUMIF(C10:C39,B44,M10:M39)</f>
        <v>0.5</v>
      </c>
      <c r="I44" s="22" t="n">
        <f aca="false">SUMIF(C10:C39,B44,O10:O39)</f>
        <v>180</v>
      </c>
      <c r="K44" s="28" t="n">
        <f aca="false">IF($O$7=0,0,I44/$O$7)</f>
        <v>0.0375481868397777</v>
      </c>
      <c r="L44" s="23" t="n">
        <f aca="false">SUMIF(C10:C39,B44,P10:P39)</f>
        <v>56.8490362632045</v>
      </c>
    </row>
    <row r="45" customFormat="false" ht="15" hidden="false" customHeight="false" outlineLevel="0" collapsed="false">
      <c r="B45" s="4" t="s">
        <v>39</v>
      </c>
      <c r="C45" s="22" t="n">
        <f aca="false">COUNTIF(C10:C39,B45)</f>
        <v>2</v>
      </c>
      <c r="E45" s="21" t="n">
        <f aca="false">SUMIF(C10:C39,B45,L10:L39)</f>
        <v>6.54</v>
      </c>
      <c r="G45" s="21" t="n">
        <f aca="false">SUMIF(C10:C39,B45,M10:M39)</f>
        <v>6.54</v>
      </c>
      <c r="I45" s="22" t="n">
        <f aca="false">SUMIF(C10:C39,B45,O10:O39)</f>
        <v>1686.36</v>
      </c>
      <c r="K45" s="28" t="n">
        <f aca="false">IF($O$7=0,0,I45/$O$7)</f>
        <v>0.351776446439598</v>
      </c>
      <c r="L45" s="23" t="n">
        <f aca="false">SUMIF(C10:C39,B45,P10:P39)</f>
        <v>532.599671071208</v>
      </c>
    </row>
    <row r="46" customFormat="false" ht="15" hidden="false" customHeight="false" outlineLevel="0" collapsed="false">
      <c r="B46" s="4" t="s">
        <v>44</v>
      </c>
      <c r="C46" s="22" t="n">
        <f aca="false">COUNTIF(C10:C39,B46)</f>
        <v>3</v>
      </c>
      <c r="E46" s="21" t="n">
        <f aca="false">SUMIF(C10:C39,B46,L10:L39)</f>
        <v>5.4</v>
      </c>
      <c r="G46" s="21" t="n">
        <f aca="false">SUMIF(C10:C39,B46,M10:M39)</f>
        <v>3.78</v>
      </c>
      <c r="I46" s="22" t="n">
        <f aca="false">SUMIF(C10:C39,B46,O10:O39)</f>
        <v>999.18</v>
      </c>
      <c r="K46" s="28" t="n">
        <f aca="false">IF($O$7=0,0,I46/$O$7)</f>
        <v>0.208429985147606</v>
      </c>
      <c r="L46" s="23" t="n">
        <f aca="false">SUMIF(C10:C39,B46,P10:P39)</f>
        <v>315.569000297048</v>
      </c>
    </row>
    <row r="47" customFormat="false" ht="15" hidden="false" customHeight="false" outlineLevel="0" collapsed="false">
      <c r="B47" s="4" t="s">
        <v>50</v>
      </c>
      <c r="C47" s="22" t="n">
        <f aca="false">COUNTIF(C10:C39,B47)</f>
        <v>3</v>
      </c>
      <c r="E47" s="21" t="n">
        <f aca="false">SUMIF(C10:C39,B47,L10:L39)</f>
        <v>8.4</v>
      </c>
      <c r="G47" s="21" t="n">
        <f aca="false">SUMIF(C10:C39,B47,M10:M39)</f>
        <v>3.6</v>
      </c>
      <c r="I47" s="22" t="n">
        <f aca="false">SUMIF(C10:C39,B47,O10:O39)</f>
        <v>572</v>
      </c>
      <c r="K47" s="28" t="n">
        <f aca="false">IF($O$7=0,0,I47/$O$7)</f>
        <v>0.119319793735294</v>
      </c>
      <c r="L47" s="23" t="n">
        <f aca="false">SUMIF(C10:C39,B47,P10:P39)</f>
        <v>180.653604125294</v>
      </c>
    </row>
    <row r="48" customFormat="false" ht="15" hidden="false" customHeight="false" outlineLevel="0" collapsed="false">
      <c r="B48" s="4" t="s">
        <v>66</v>
      </c>
      <c r="C48" s="22" t="n">
        <f aca="false">COUNTIF(C10:C39,B48)</f>
        <v>0</v>
      </c>
      <c r="E48" s="21" t="n">
        <f aca="false">SUMIF(C10:C39,B48,L10:L39)</f>
        <v>0</v>
      </c>
      <c r="G48" s="21" t="n">
        <f aca="false">SUMIF(C10:C39,B48,M10:M39)</f>
        <v>0</v>
      </c>
      <c r="I48" s="22" t="n">
        <f aca="false">SUMIF(C10:C39,B48,O10:O39)</f>
        <v>0</v>
      </c>
      <c r="K48" s="28" t="n">
        <f aca="false">IF($O$7=0,0,I48/$O$7)</f>
        <v>0</v>
      </c>
      <c r="L48" s="23" t="n">
        <f aca="false">SUMIF(C10:C39,B48,P10:P39)</f>
        <v>0</v>
      </c>
    </row>
    <row r="49" customFormat="false" ht="15" hidden="false" customHeight="false" outlineLevel="0" collapsed="false">
      <c r="B49" s="4" t="s">
        <v>56</v>
      </c>
      <c r="C49" s="22" t="n">
        <f aca="false">COUNTIF(C10:C39,B49)</f>
        <v>3</v>
      </c>
      <c r="E49" s="21" t="n">
        <f aca="false">SUMIF(C10:C39,B49,L10:L39)</f>
        <v>8.25</v>
      </c>
      <c r="G49" s="21" t="n">
        <f aca="false">SUMIF(C10:C39,B49,M10:M39)</f>
        <v>5.1</v>
      </c>
      <c r="I49" s="22" t="n">
        <f aca="false">SUMIF(C10:C39,B49,O10:O39)</f>
        <v>1140.3</v>
      </c>
      <c r="K49" s="28" t="n">
        <f aca="false">IF($O$7=0,0,I49/$O$7)</f>
        <v>0.237867763629992</v>
      </c>
      <c r="L49" s="23" t="n">
        <f aca="false">SUMIF(C10:C39,B49,P10:P39)</f>
        <v>360.1386447274</v>
      </c>
    </row>
    <row r="50" customFormat="false" ht="15" hidden="false" customHeight="false" outlineLevel="0" collapsed="false">
      <c r="B50" s="4" t="s">
        <v>59</v>
      </c>
      <c r="C50" s="22" t="n">
        <f aca="false">COUNTIF(C10:C39,B50)</f>
        <v>1</v>
      </c>
      <c r="E50" s="21" t="n">
        <f aca="false">SUMIF(C10:C39,B50,L10:L39)</f>
        <v>0.3</v>
      </c>
      <c r="G50" s="21" t="n">
        <f aca="false">SUMIF(C10:C39,B50,M10:M39)</f>
        <v>0.3</v>
      </c>
      <c r="I50" s="22" t="n">
        <f aca="false">SUMIF(C10:C39,B50,O10:O39)</f>
        <v>216</v>
      </c>
      <c r="K50" s="28" t="n">
        <f aca="false">IF($O$7=0,0,I50/$O$7)</f>
        <v>0.0450578242077333</v>
      </c>
      <c r="L50" s="23" t="n">
        <f aca="false">SUMIF(C10:C39,B50,P10:P39)</f>
        <v>68.2188435158453</v>
      </c>
    </row>
    <row r="51" customFormat="false" ht="15" hidden="false" customHeight="false" outlineLevel="0" collapsed="false">
      <c r="B51" s="29" t="s">
        <v>62</v>
      </c>
      <c r="C51" s="13" t="n">
        <f aca="false">SUM(C44:C50)</f>
        <v>13</v>
      </c>
      <c r="D51" s="30"/>
      <c r="E51" s="11" t="n">
        <f aca="false">SUM(E44:E50)</f>
        <v>29.39</v>
      </c>
      <c r="F51" s="30"/>
      <c r="G51" s="11" t="n">
        <f aca="false">SUM(G44:G50)</f>
        <v>19.82</v>
      </c>
      <c r="H51" s="30"/>
      <c r="I51" s="13" t="n">
        <f aca="false">SUM(I44:I50)</f>
        <v>4793.84</v>
      </c>
      <c r="J51" s="30"/>
      <c r="K51" s="12" t="n">
        <f aca="false">SUM(K44:K50)</f>
        <v>1</v>
      </c>
      <c r="L51" s="14" t="n">
        <f aca="false">SUM(L44:L50)</f>
        <v>1514.0288</v>
      </c>
    </row>
    <row r="53" customFormat="false" ht="15" hidden="false" customHeight="false" outlineLevel="0" collapsed="false">
      <c r="B53" s="4" t="s">
        <v>67</v>
      </c>
      <c r="E53" s="31" t="n">
        <f aca="false">O7*12</f>
        <v>57526.08</v>
      </c>
    </row>
    <row r="54" customFormat="false" ht="15" hidden="false" customHeight="false" outlineLevel="0" collapsed="false">
      <c r="B54" s="4" t="s">
        <v>68</v>
      </c>
      <c r="E54" s="32" t="n">
        <f aca="false">P7*12</f>
        <v>18168.3456</v>
      </c>
    </row>
    <row r="55" customFormat="false" ht="15" hidden="false" customHeight="false" outlineLevel="0" collapsed="false">
      <c r="B55" s="4" t="s">
        <v>69</v>
      </c>
      <c r="E55" s="8" t="n">
        <f aca="false">IF(O7=0,0,P7/O7*100)</f>
        <v>31.5827979240025</v>
      </c>
    </row>
    <row r="56" customFormat="false" ht="15" hidden="false" customHeight="false" outlineLevel="0" collapsed="false">
      <c r="B56" s="4" t="s">
        <v>70</v>
      </c>
      <c r="E56" s="8" t="n">
        <f aca="false">O7*12*'Settings &amp; Tariff'!$B$23/1000</f>
        <v>19.5588672</v>
      </c>
    </row>
    <row r="58" customFormat="false" ht="15" hidden="false" customHeight="false" outlineLevel="0" collapsed="false">
      <c r="B58" s="6" t="s">
        <v>71</v>
      </c>
    </row>
    <row r="59" customFormat="false" ht="15" hidden="false" customHeight="false" outlineLevel="0" collapsed="false">
      <c r="B59" s="3" t="s">
        <v>72</v>
      </c>
    </row>
    <row r="60" customFormat="false" ht="15" hidden="false" customHeight="false" outlineLevel="0" collapsed="false">
      <c r="B60" s="3" t="s">
        <v>73</v>
      </c>
    </row>
    <row r="61" customFormat="false" ht="15" hidden="false" customHeight="false" outlineLevel="0" collapsed="false">
      <c r="B61" s="3" t="s">
        <v>74</v>
      </c>
    </row>
    <row r="62" customFormat="false" ht="15" hidden="false" customHeight="false" outlineLevel="0" collapsed="false">
      <c r="B62" s="3" t="s">
        <v>75</v>
      </c>
    </row>
    <row r="63" customFormat="false" ht="15" hidden="false" customHeight="false" outlineLevel="0" collapsed="false">
      <c r="B63" s="3" t="s">
        <v>76</v>
      </c>
    </row>
  </sheetData>
  <mergeCells count="8">
    <mergeCell ref="B5:C5"/>
    <mergeCell ref="D5:E5"/>
    <mergeCell ref="F5:G5"/>
    <mergeCell ref="B6:C6"/>
    <mergeCell ref="D6:E6"/>
    <mergeCell ref="F6:G6"/>
    <mergeCell ref="H6:I6"/>
    <mergeCell ref="L6:P6"/>
  </mergeCells>
  <conditionalFormatting sqref="L6">
    <cfRule type="expression" priority="2" aboveAverage="0" equalAverage="0" bottom="0" percent="0" rank="0" text="" dxfId="0">
      <formula>N7&gt;1</formula>
    </cfRule>
    <cfRule type="expression" priority="3" aboveAverage="0" equalAverage="0" bottom="0" percent="0" rank="0" text="" dxfId="1">
      <formula>AND(N7&lt;=1,M7&gt;'Settings &amp; Tariff'!$B$14)</formula>
    </cfRule>
    <cfRule type="expression" priority="4" aboveAverage="0" equalAverage="0" bottom="0" percent="0" rank="0" text="" dxfId="2">
      <formula>M7&lt;='Settings &amp; Tariff'!$B$14</formula>
    </cfRule>
  </conditionalFormatting>
  <dataValidations count="3">
    <dataValidation allowBlank="true" errorStyle="stop" operator="between" showDropDown="false" showErrorMessage="false" showInputMessage="false" sqref="C10:C39" type="list">
      <formula1>"Spotlight,Lighting,Air-cond,13A Socket,Fan,Motor / Machinery,Other"</formula1>
      <formula2>0</formula2>
    </dataValidation>
    <dataValidation allowBlank="true" errorStyle="stop" operator="between" showDropDown="false" showErrorMessage="false" showInputMessage="false" sqref="I10:I39" type="list">
      <formula1>"Y,N"</formula1>
      <formula2>0</formula2>
    </dataValidation>
    <dataValidation allowBlank="true" errorStyle="stop" operator="between" showDropDown="false" showErrorMessage="false" showInputMessage="false" sqref="J10:J39" type="list">
      <formula1>"R,Y,B,3P"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6"/>
  </cols>
  <sheetData>
    <row r="1" customFormat="false" ht="16.15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4" customFormat="false" ht="15" hidden="false" customHeight="false" outlineLevel="0" collapsed="false">
      <c r="A4" s="27" t="s">
        <v>79</v>
      </c>
    </row>
    <row r="5" customFormat="false" ht="15" hidden="false" customHeight="false" outlineLevel="0" collapsed="false">
      <c r="A5" s="16" t="s">
        <v>80</v>
      </c>
      <c r="B5" s="17" t="s">
        <v>81</v>
      </c>
      <c r="C5" s="3"/>
      <c r="D5" s="2"/>
    </row>
    <row r="6" customFormat="false" ht="15" hidden="false" customHeight="false" outlineLevel="0" collapsed="false">
      <c r="A6" s="16" t="s">
        <v>82</v>
      </c>
      <c r="B6" s="18" t="n">
        <v>3</v>
      </c>
      <c r="C6" s="3"/>
      <c r="D6" s="2" t="s">
        <v>83</v>
      </c>
    </row>
    <row r="7" customFormat="false" ht="15" hidden="false" customHeight="false" outlineLevel="0" collapsed="false">
      <c r="A7" s="16" t="s">
        <v>84</v>
      </c>
      <c r="B7" s="18" t="n">
        <v>60</v>
      </c>
      <c r="C7" s="3" t="s">
        <v>85</v>
      </c>
      <c r="D7" s="2" t="s">
        <v>86</v>
      </c>
    </row>
    <row r="8" customFormat="false" ht="15" hidden="false" customHeight="false" outlineLevel="0" collapsed="false">
      <c r="A8" s="16" t="s">
        <v>87</v>
      </c>
      <c r="B8" s="18" t="n">
        <v>415</v>
      </c>
      <c r="C8" s="3" t="s">
        <v>88</v>
      </c>
      <c r="D8" s="2" t="s">
        <v>89</v>
      </c>
    </row>
    <row r="9" customFormat="false" ht="15" hidden="false" customHeight="false" outlineLevel="0" collapsed="false">
      <c r="A9" s="16" t="s">
        <v>90</v>
      </c>
      <c r="B9" s="19" t="n">
        <v>0.85</v>
      </c>
      <c r="C9" s="3"/>
      <c r="D9" s="2" t="s">
        <v>91</v>
      </c>
    </row>
    <row r="10" customFormat="false" ht="15" hidden="false" customHeight="false" outlineLevel="0" collapsed="false">
      <c r="A10" s="16" t="s">
        <v>92</v>
      </c>
      <c r="B10" s="19" t="n">
        <v>0.8</v>
      </c>
      <c r="C10" s="3"/>
      <c r="D10" s="2" t="s">
        <v>93</v>
      </c>
    </row>
    <row r="11" customFormat="false" ht="15" hidden="false" customHeight="false" outlineLevel="0" collapsed="false">
      <c r="A11" s="16" t="s">
        <v>94</v>
      </c>
      <c r="B11" s="20" t="n">
        <v>0.8</v>
      </c>
      <c r="C11" s="3" t="s">
        <v>95</v>
      </c>
      <c r="D11" s="2" t="s">
        <v>96</v>
      </c>
    </row>
    <row r="12" customFormat="false" ht="15" hidden="false" customHeight="false" outlineLevel="0" collapsed="false">
      <c r="A12" s="16" t="s">
        <v>97</v>
      </c>
      <c r="B12" s="8" t="n">
        <f aca="false">IF('Settings &amp; Tariff'!$B$6=3,SQRT(3)*'Settings &amp; Tariff'!$B$8*'Settings &amp; Tariff'!$B$7/1000,'Settings &amp; Tariff'!$B$8*'Settings &amp; Tariff'!$B$7/1000)</f>
        <v>43.128065108465</v>
      </c>
    </row>
    <row r="13" customFormat="false" ht="15" hidden="false" customHeight="false" outlineLevel="0" collapsed="false">
      <c r="A13" s="16" t="s">
        <v>98</v>
      </c>
      <c r="B13" s="8" t="n">
        <f aca="false">'Settings &amp; Tariff'!$B$12*'Settings &amp; Tariff'!$B$9</f>
        <v>36.6588553421953</v>
      </c>
    </row>
    <row r="14" customFormat="false" ht="15" hidden="false" customHeight="false" outlineLevel="0" collapsed="false">
      <c r="A14" s="16" t="s">
        <v>99</v>
      </c>
      <c r="B14" s="8" t="n">
        <f aca="false">'Settings &amp; Tariff'!$B$7*'Settings &amp; Tariff'!$B$11</f>
        <v>48</v>
      </c>
    </row>
    <row r="16" customFormat="false" ht="15" hidden="false" customHeight="false" outlineLevel="0" collapsed="false">
      <c r="A16" s="27" t="s">
        <v>100</v>
      </c>
    </row>
    <row r="17" customFormat="false" ht="15" hidden="false" customHeight="false" outlineLevel="0" collapsed="false">
      <c r="A17" s="16" t="s">
        <v>101</v>
      </c>
      <c r="B17" s="17" t="s">
        <v>102</v>
      </c>
      <c r="C17" s="3"/>
      <c r="D17" s="2" t="s">
        <v>103</v>
      </c>
    </row>
    <row r="18" customFormat="false" ht="15" hidden="false" customHeight="false" outlineLevel="0" collapsed="false">
      <c r="A18" s="16" t="s">
        <v>104</v>
      </c>
      <c r="B18" s="19" t="n">
        <v>24.5</v>
      </c>
      <c r="C18" s="3" t="s">
        <v>105</v>
      </c>
      <c r="D18" s="2"/>
    </row>
    <row r="19" customFormat="false" ht="15" hidden="false" customHeight="false" outlineLevel="0" collapsed="false">
      <c r="A19" s="16" t="s">
        <v>106</v>
      </c>
      <c r="B19" s="19" t="n">
        <v>16</v>
      </c>
      <c r="C19" s="3" t="s">
        <v>107</v>
      </c>
      <c r="D19" s="2"/>
    </row>
    <row r="20" customFormat="false" ht="15" hidden="false" customHeight="false" outlineLevel="0" collapsed="false">
      <c r="A20" s="16" t="s">
        <v>108</v>
      </c>
      <c r="B20" s="19" t="n">
        <v>10</v>
      </c>
      <c r="C20" s="3" t="s">
        <v>109</v>
      </c>
      <c r="D20" s="2"/>
    </row>
    <row r="21" customFormat="false" ht="15" hidden="false" customHeight="false" outlineLevel="0" collapsed="false">
      <c r="A21" s="16" t="s">
        <v>110</v>
      </c>
      <c r="B21" s="20" t="n">
        <v>0</v>
      </c>
      <c r="C21" s="3" t="s">
        <v>95</v>
      </c>
      <c r="D21" s="2" t="s">
        <v>111</v>
      </c>
    </row>
    <row r="22" customFormat="false" ht="15" hidden="false" customHeight="false" outlineLevel="0" collapsed="false">
      <c r="A22" s="16" t="s">
        <v>112</v>
      </c>
      <c r="B22" s="18" t="n">
        <v>26</v>
      </c>
      <c r="C22" s="3" t="s">
        <v>113</v>
      </c>
      <c r="D22" s="2"/>
    </row>
    <row r="23" customFormat="false" ht="15" hidden="false" customHeight="false" outlineLevel="0" collapsed="false">
      <c r="A23" s="16" t="s">
        <v>114</v>
      </c>
      <c r="B23" s="19" t="n">
        <v>0.34</v>
      </c>
      <c r="C23" s="3" t="s">
        <v>115</v>
      </c>
      <c r="D23" s="2" t="s">
        <v>116</v>
      </c>
    </row>
    <row r="25" customFormat="false" ht="15" hidden="false" customHeight="false" outlineLevel="0" collapsed="false">
      <c r="A25" s="27" t="s">
        <v>117</v>
      </c>
    </row>
    <row r="26" customFormat="false" ht="30" hidden="false" customHeight="true" outlineLevel="0" collapsed="false">
      <c r="A26" s="15" t="s">
        <v>118</v>
      </c>
      <c r="B26" s="15" t="s">
        <v>119</v>
      </c>
      <c r="C26" s="15" t="s">
        <v>120</v>
      </c>
      <c r="D26" s="15" t="s">
        <v>105</v>
      </c>
      <c r="E26" s="15" t="s">
        <v>121</v>
      </c>
      <c r="F26" s="15" t="s">
        <v>122</v>
      </c>
    </row>
    <row r="27" customFormat="false" ht="15" hidden="false" customHeight="false" outlineLevel="0" collapsed="false">
      <c r="A27" s="16" t="n">
        <v>1</v>
      </c>
      <c r="B27" s="22" t="n">
        <v>0</v>
      </c>
      <c r="C27" s="18" t="n">
        <v>100</v>
      </c>
      <c r="D27" s="19" t="n">
        <v>20</v>
      </c>
      <c r="E27" s="22" t="n">
        <f aca="false">MAX(0,MIN('Load Schedule'!$O$7,C27)-B27)</f>
        <v>100</v>
      </c>
      <c r="F27" s="23" t="n">
        <f aca="false">E27*D27/100</f>
        <v>20</v>
      </c>
    </row>
    <row r="28" customFormat="false" ht="15" hidden="false" customHeight="false" outlineLevel="0" collapsed="false">
      <c r="A28" s="16" t="n">
        <v>2</v>
      </c>
      <c r="B28" s="22" t="n">
        <f aca="false">C27</f>
        <v>100</v>
      </c>
      <c r="C28" s="18" t="n">
        <v>200</v>
      </c>
      <c r="D28" s="19" t="n">
        <v>24</v>
      </c>
      <c r="E28" s="22" t="n">
        <f aca="false">MAX(0,MIN('Load Schedule'!$O$7,C28)-B28)</f>
        <v>100</v>
      </c>
      <c r="F28" s="23" t="n">
        <f aca="false">E28*D28/100</f>
        <v>24</v>
      </c>
    </row>
    <row r="29" customFormat="false" ht="15" hidden="false" customHeight="false" outlineLevel="0" collapsed="false">
      <c r="A29" s="16" t="n">
        <v>3</v>
      </c>
      <c r="B29" s="22" t="n">
        <f aca="false">C28</f>
        <v>200</v>
      </c>
      <c r="C29" s="18" t="n">
        <v>10000</v>
      </c>
      <c r="D29" s="19" t="n">
        <v>32</v>
      </c>
      <c r="E29" s="22" t="n">
        <f aca="false">MAX(0,MIN('Load Schedule'!$O$7,C29)-B29)</f>
        <v>4593.84</v>
      </c>
      <c r="F29" s="23" t="n">
        <f aca="false">E29*D29/100</f>
        <v>1470.0288</v>
      </c>
    </row>
    <row r="30" customFormat="false" ht="15" hidden="false" customHeight="false" outlineLevel="0" collapsed="false">
      <c r="A30" s="16" t="n">
        <v>4</v>
      </c>
      <c r="B30" s="22" t="n">
        <f aca="false">C29</f>
        <v>10000</v>
      </c>
      <c r="C30" s="18" t="n">
        <v>20000</v>
      </c>
      <c r="D30" s="19" t="n">
        <v>31</v>
      </c>
      <c r="E30" s="22" t="n">
        <f aca="false">MAX(0,MIN('Load Schedule'!$O$7,C30)-B30)</f>
        <v>0</v>
      </c>
      <c r="F30" s="23" t="n">
        <f aca="false">E30*D30/100</f>
        <v>0</v>
      </c>
    </row>
    <row r="31" customFormat="false" ht="15" hidden="false" customHeight="false" outlineLevel="0" collapsed="false">
      <c r="A31" s="16" t="n">
        <v>5</v>
      </c>
      <c r="B31" s="22" t="n">
        <f aca="false">C30</f>
        <v>20000</v>
      </c>
      <c r="C31" s="18" t="n">
        <v>99999999</v>
      </c>
      <c r="D31" s="19" t="n">
        <v>30</v>
      </c>
      <c r="E31" s="22" t="n">
        <f aca="false">MAX(0,MIN('Load Schedule'!$O$7,C31)-B31)</f>
        <v>0</v>
      </c>
      <c r="F31" s="23" t="n">
        <f aca="false">E31*D31/100</f>
        <v>0</v>
      </c>
    </row>
    <row r="32" customFormat="false" ht="15" hidden="false" customHeight="false" outlineLevel="0" collapsed="false">
      <c r="E32" s="4" t="s">
        <v>123</v>
      </c>
      <c r="F32" s="32" t="n">
        <f aca="false">SUM(F27:F31)</f>
        <v>1514.0288</v>
      </c>
    </row>
    <row r="34" customFormat="false" ht="15" hidden="false" customHeight="false" outlineLevel="0" collapsed="false">
      <c r="A34" s="27" t="s">
        <v>124</v>
      </c>
    </row>
    <row r="35" customFormat="false" ht="24" hidden="false" customHeight="true" outlineLevel="0" collapsed="false">
      <c r="A35" s="15" t="s">
        <v>125</v>
      </c>
      <c r="B35" s="15" t="s">
        <v>126</v>
      </c>
      <c r="C35" s="15" t="s">
        <v>127</v>
      </c>
    </row>
    <row r="36" customFormat="false" ht="15" hidden="false" customHeight="false" outlineLevel="0" collapsed="false">
      <c r="A36" s="16" t="s">
        <v>128</v>
      </c>
      <c r="B36" s="22" t="n">
        <v>50</v>
      </c>
      <c r="C36" s="3" t="s">
        <v>129</v>
      </c>
    </row>
    <row r="37" customFormat="false" ht="15" hidden="false" customHeight="false" outlineLevel="0" collapsed="false">
      <c r="A37" s="16" t="s">
        <v>130</v>
      </c>
      <c r="B37" s="22" t="n">
        <v>150</v>
      </c>
      <c r="C37" s="3" t="s">
        <v>131</v>
      </c>
    </row>
    <row r="38" customFormat="false" ht="15" hidden="false" customHeight="false" outlineLevel="0" collapsed="false">
      <c r="A38" s="16" t="s">
        <v>132</v>
      </c>
      <c r="B38" s="22" t="n">
        <v>18</v>
      </c>
      <c r="C38" s="3" t="s">
        <v>133</v>
      </c>
    </row>
    <row r="39" customFormat="false" ht="15" hidden="false" customHeight="false" outlineLevel="0" collapsed="false">
      <c r="A39" s="16" t="s">
        <v>134</v>
      </c>
      <c r="B39" s="22" t="n">
        <v>90</v>
      </c>
      <c r="C39" s="3" t="s">
        <v>135</v>
      </c>
    </row>
    <row r="40" customFormat="false" ht="15" hidden="false" customHeight="false" outlineLevel="0" collapsed="false">
      <c r="A40" s="16" t="s">
        <v>136</v>
      </c>
      <c r="B40" s="22" t="n">
        <v>900</v>
      </c>
      <c r="C40" s="3" t="s">
        <v>137</v>
      </c>
    </row>
    <row r="41" customFormat="false" ht="15" hidden="false" customHeight="false" outlineLevel="0" collapsed="false">
      <c r="A41" s="16" t="s">
        <v>138</v>
      </c>
      <c r="B41" s="22" t="n">
        <v>1300</v>
      </c>
      <c r="C41" s="3"/>
    </row>
    <row r="42" customFormat="false" ht="15" hidden="false" customHeight="false" outlineLevel="0" collapsed="false">
      <c r="A42" s="16" t="s">
        <v>139</v>
      </c>
      <c r="B42" s="22" t="n">
        <v>1800</v>
      </c>
      <c r="C42" s="3"/>
    </row>
    <row r="43" customFormat="false" ht="15" hidden="false" customHeight="false" outlineLevel="0" collapsed="false">
      <c r="A43" s="16" t="s">
        <v>140</v>
      </c>
      <c r="B43" s="22" t="n">
        <v>2300</v>
      </c>
      <c r="C43" s="3"/>
    </row>
    <row r="44" customFormat="false" ht="15" hidden="false" customHeight="false" outlineLevel="0" collapsed="false">
      <c r="A44" s="16" t="s">
        <v>141</v>
      </c>
      <c r="B44" s="22" t="n">
        <v>2800</v>
      </c>
      <c r="C44" s="3"/>
    </row>
    <row r="45" customFormat="false" ht="15" hidden="false" customHeight="false" outlineLevel="0" collapsed="false">
      <c r="A45" s="16" t="s">
        <v>142</v>
      </c>
      <c r="B45" s="22" t="n">
        <v>200</v>
      </c>
      <c r="C45" s="3" t="s">
        <v>143</v>
      </c>
    </row>
    <row r="46" customFormat="false" ht="15" hidden="false" customHeight="false" outlineLevel="0" collapsed="false">
      <c r="A46" s="16" t="s">
        <v>144</v>
      </c>
      <c r="B46" s="22" t="n">
        <v>2000</v>
      </c>
      <c r="C46" s="3"/>
    </row>
    <row r="47" customFormat="false" ht="15" hidden="false" customHeight="false" outlineLevel="0" collapsed="false">
      <c r="A47" s="16" t="s">
        <v>145</v>
      </c>
      <c r="B47" s="22" t="n">
        <v>150</v>
      </c>
      <c r="C47" s="3"/>
    </row>
    <row r="48" customFormat="false" ht="15" hidden="false" customHeight="false" outlineLevel="0" collapsed="false">
      <c r="A48" s="16" t="s">
        <v>146</v>
      </c>
      <c r="B48" s="22" t="n">
        <v>150</v>
      </c>
      <c r="C48" s="3" t="s">
        <v>147</v>
      </c>
    </row>
    <row r="49" customFormat="false" ht="15" hidden="false" customHeight="false" outlineLevel="0" collapsed="false">
      <c r="A49" s="16" t="s">
        <v>148</v>
      </c>
      <c r="B49" s="22" t="n">
        <v>75</v>
      </c>
      <c r="C49" s="3"/>
    </row>
    <row r="50" customFormat="false" ht="15" hidden="false" customHeight="false" outlineLevel="0" collapsed="false">
      <c r="A50" s="16" t="s">
        <v>149</v>
      </c>
      <c r="B50" s="22" t="n">
        <v>1500</v>
      </c>
      <c r="C50" s="3"/>
    </row>
    <row r="51" customFormat="false" ht="15" hidden="false" customHeight="false" outlineLevel="0" collapsed="false">
      <c r="A51" s="16" t="s">
        <v>150</v>
      </c>
      <c r="B51" s="22" t="n">
        <v>6000</v>
      </c>
      <c r="C51" s="3"/>
    </row>
    <row r="52" customFormat="false" ht="15" hidden="false" customHeight="false" outlineLevel="0" collapsed="false">
      <c r="A52" s="16" t="s">
        <v>151</v>
      </c>
      <c r="B52" s="22" t="n">
        <v>750</v>
      </c>
      <c r="C52" s="3"/>
    </row>
    <row r="53" customFormat="false" ht="15" hidden="false" customHeight="false" outlineLevel="0" collapsed="false">
      <c r="A53" s="16" t="s">
        <v>61</v>
      </c>
      <c r="B53" s="22" t="n">
        <v>750</v>
      </c>
      <c r="C5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2026-10-14T12:21:02Z</dcterms:created>
  <dc:creator>openpyxl</dc:creator>
  <dc:description/>
  <dc:language>en-US</dc:language>
  <cp:lastModifiedBy/>
  <dcterms:modified xsi:type="dcterms:W3CDTF">2026-10-14T12:21:02Z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