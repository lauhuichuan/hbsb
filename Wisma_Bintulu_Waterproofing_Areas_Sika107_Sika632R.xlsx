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atch detail" sheetId="2" state="visible" r:id="rId4"/>
    <sheet name="Notes &amp; 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" authorId="0">
      <text>
        <r>
          <rPr>
            <sz val="10"/>
            <rFont val="Arial"/>
            <family val="2"/>
          </rPr>
          <t xml:space="preserve">Overlap between green floor hatch and yellow scupper hatch on this floor = 3.02 m² (measured in CAD).</t>
        </r>
      </text>
    </comment>
    <comment ref="F10" authorId="0">
      <text>
        <r>
          <rPr>
            <sz val="10"/>
            <rFont val="Arial"/>
            <family val="2"/>
          </rPr>
          <t xml:space="preserve">Overlap between green floor hatch and yellow scupper hatch on this floor = 0.00 m² (measured in CAD).</t>
        </r>
      </text>
    </comment>
    <comment ref="F11" authorId="0">
      <text>
        <r>
          <rPr>
            <sz val="10"/>
            <rFont val="Arial"/>
            <family val="2"/>
          </rPr>
          <t xml:space="preserve">Overlap between green floor hatch and yellow scupper hatch on this floor = 5.89 m² (measured in CAD).</t>
        </r>
      </text>
    </comment>
    <comment ref="F12" authorId="0">
      <text>
        <r>
          <rPr>
            <sz val="10"/>
            <rFont val="Arial"/>
            <family val="2"/>
          </rPr>
          <t xml:space="preserve">Overlap between green floor hatch and yellow scupper hatch on this floor = 58.60 m² (measured in CAD).</t>
        </r>
      </text>
    </comment>
  </commentList>
</comments>
</file>

<file path=xl/sharedStrings.xml><?xml version="1.0" encoding="utf-8"?>
<sst xmlns="http://schemas.openxmlformats.org/spreadsheetml/2006/main" count="699" uniqueCount="196">
  <si>
    <t xml:space="preserve">WATERPROOFING AREA TAKE-OFF  -  WISMA BINTULU (from CAD file Waterproofing_Contract.dwg)</t>
  </si>
  <si>
    <t xml:space="preserve">Project: The Proposed Provision and Laying of Waterproofing Membrane to Existing Roof Balconies and Associated Works at Wisma Bintulu Building (Lembaga Kemajuan Bintulu, drawings BDA-MWS/BLD/1/2025-1/11 to 11/11, March 2025)</t>
  </si>
  <si>
    <t xml:space="preserve">All areas are plan (horizontal) areas in m², measured from the hatched regions in the drawing (drawing units = mm, see General Notes). Values are rounded to 2 decimals; totals are formulas.</t>
  </si>
  <si>
    <t xml:space="preserve">Floor</t>
  </si>
  <si>
    <t xml:space="preserve">Drawing</t>
  </si>
  <si>
    <t xml:space="preserve">Sikalastic-632 R
Floor / balcony area (m²)</t>
  </si>
  <si>
    <t xml:space="preserve">SikaTop Seal-107
Existing RC gutter (m²)</t>
  </si>
  <si>
    <t xml:space="preserve">SikaTop Seal-107
Scupper drain 300mm (m²)</t>
  </si>
  <si>
    <t xml:space="preserve">Floor area net of scupper drain (m²)</t>
  </si>
  <si>
    <t xml:space="preserve">Remarks</t>
  </si>
  <si>
    <t xml:space="preserve">Ground Floor</t>
  </si>
  <si>
    <t xml:space="preserve">1/11</t>
  </si>
  <si>
    <t xml:space="preserve">No waterproofing area shown on this plan.</t>
  </si>
  <si>
    <t xml:space="preserve">1st Floor</t>
  </si>
  <si>
    <t xml:space="preserve">2/11</t>
  </si>
  <si>
    <t xml:space="preserve">Existing RC gutter ring to be cleaned and waterproofed (legend). Ring 99.6 m outer dia, 1.0 m wide.</t>
  </si>
  <si>
    <t xml:space="preserve">2nd Floor</t>
  </si>
  <si>
    <t xml:space="preserve">3/11</t>
  </si>
  <si>
    <t xml:space="preserve">Only new RWDP coring shown; no waterproofing area.</t>
  </si>
  <si>
    <t xml:space="preserve">3rd Floor</t>
  </si>
  <si>
    <t xml:space="preserve">4/11</t>
  </si>
  <si>
    <t xml:space="preserve">Green ring of balcony segments + 300 mm scupper drain ring.</t>
  </si>
  <si>
    <t xml:space="preserve">4th Floor</t>
  </si>
  <si>
    <t xml:space="preserve">5/11</t>
  </si>
  <si>
    <t xml:space="preserve">Outer green ring + inner green ring with scupper drain between them. One stray 24.16 m² patterned hatch inside the building footprint was excluded.</t>
  </si>
  <si>
    <t xml:space="preserve">5th Floor</t>
  </si>
  <si>
    <t xml:space="preserve">6/11</t>
  </si>
  <si>
    <t xml:space="preserve">Green balcony ring (incl. two segments drawn as overlapping patterned hatches, unioned) + scupper drain ring.</t>
  </si>
  <si>
    <t xml:space="preserve">6th Floor</t>
  </si>
  <si>
    <t xml:space="preserve">7/11</t>
  </si>
  <si>
    <t xml:space="preserve">Green ring 40.8 m outer dia / 34.35 m inner dia (layer "Waterproof"); scupper drain ring lies inside the green ring.</t>
  </si>
  <si>
    <t xml:space="preserve">TOTAL</t>
  </si>
  <si>
    <t xml:space="preserve">PRODUCT SUMMARY</t>
  </si>
  <si>
    <t xml:space="preserve">Product</t>
  </si>
  <si>
    <t xml:space="preserve">Application (per drawing)</t>
  </si>
  <si>
    <t xml:space="preserve">Area (m²)</t>
  </si>
  <si>
    <t xml:space="preserve">Wastage / extra %</t>
  </si>
  <si>
    <t xml:space="preserve">Area incl. extra (m²)</t>
  </si>
  <si>
    <t xml:space="preserve">Basis</t>
  </si>
  <si>
    <t xml:space="preserve">Sikalastic-632 R (3 layers)</t>
  </si>
  <si>
    <t xml:space="preserve">Balcony / roof-balcony floor areas marked "PROPOSED AREA FOR WATER PROOFING WORK AS PER CONTRACT" (green hatch), 3rd-6th floors</t>
  </si>
  <si>
    <t xml:space="preserve">Floor total, gross (includes the strip under the scupper drain). Use F13 for net-of-scupper.</t>
  </si>
  <si>
    <t xml:space="preserve">SikaTop Seal-107 (3 coats) - RC gutter</t>
  </si>
  <si>
    <t xml:space="preserve">Existing RC gutter on 1st floor, "to be clean and apply with waterproofing" (magenta hatch)</t>
  </si>
  <si>
    <t xml:space="preserve">Plan area of gutter ring only (1.0 m wide). Gutter side walls are NOT included - see gutter calculator below.</t>
  </si>
  <si>
    <t xml:space="preserve">SikaTop Seal-107 (3 coats) - scupper drains</t>
  </si>
  <si>
    <t xml:space="preserve">New 300 mm wide x 50 mm deep scupper drains, 3rd-6th floors (yellow hatch). Section detail 11/11 shows SikaTop Seal-107 at slab / scupper level</t>
  </si>
  <si>
    <t xml:space="preserve">Plan area of the drain strip as drawn (drawn 500 mm wide on 4th-6th, 300-500 mm on 3rd). Drain side faces not included.</t>
  </si>
  <si>
    <t xml:space="preserve">SikaTop Seal-107 TOTAL</t>
  </si>
  <si>
    <t xml:space="preserve">RC gutter + scupper drains</t>
  </si>
  <si>
    <t xml:space="preserve">Sum of the two rows above.</t>
  </si>
  <si>
    <t xml:space="preserve">Yellow cells are inputs you can change (wastage / extra allowance, default 10%). Blue figures are measured from the CAD file; black figures are formulas.</t>
  </si>
  <si>
    <t xml:space="preserve">RC GUTTER CALCULATOR (1st floor) - optional, for gutter side walls</t>
  </si>
  <si>
    <t xml:space="preserve">Gutter outer diameter (m)</t>
  </si>
  <si>
    <t xml:space="preserve">Measured from CAD (outer circle of RC GUTTER hatch)</t>
  </si>
  <si>
    <t xml:space="preserve">Gutter inner diameter (m)</t>
  </si>
  <si>
    <t xml:space="preserve">Measured from CAD (inner circle of RC GUTTER hatch)</t>
  </si>
  <si>
    <t xml:space="preserve">Gutter width (m)</t>
  </si>
  <si>
    <t xml:space="preserve">Formula</t>
  </si>
  <si>
    <t xml:space="preserve">Gutter centre-line length (m)</t>
  </si>
  <si>
    <t xml:space="preserve">Formula - mean circumference</t>
  </si>
  <si>
    <t xml:space="preserve">Gutter plan / floor area (m²)</t>
  </si>
  <si>
    <t xml:space="preserve">Formula - cross-check against take-off above</t>
  </si>
  <si>
    <t xml:space="preserve">Gutter depth (m)  &lt;- enter from site</t>
  </si>
  <si>
    <t xml:space="preserve">Not shown in drawing - enter measured depth</t>
  </si>
  <si>
    <t xml:space="preserve">Gutter side-wall area, both sides (m²)</t>
  </si>
  <si>
    <t xml:space="preserve">Formula = 2 x length x depth</t>
  </si>
  <si>
    <t xml:space="preserve">Total RC gutter coating area incl. walls (m²)</t>
  </si>
  <si>
    <t xml:space="preserve">Every hatched region measured (one row per CAD hatch entity). Areas are the individual hatch areas; where hatches overlap the Summary uses the union (overlap removed).</t>
  </si>
  <si>
    <t xml:space="preserve">Category (legend)</t>
  </si>
  <si>
    <t xml:space="preserve">CAD handle</t>
  </si>
  <si>
    <t xml:space="preserve">Layer</t>
  </si>
  <si>
    <t xml:space="preserve">ACI colour</t>
  </si>
  <si>
    <t xml:space="preserve">Pattern</t>
  </si>
  <si>
    <t xml:space="preserve">Boundary loops</t>
  </si>
  <si>
    <t xml:space="preserve">Centre X (mm)</t>
  </si>
  <si>
    <t xml:space="preserve">Centre Y (mm)</t>
  </si>
  <si>
    <t xml:space="preserve">Included in Summary?</t>
  </si>
  <si>
    <t xml:space="preserve">Existing RC gutter (magenta)</t>
  </si>
  <si>
    <t xml:space="preserve">SikaTop Seal-107</t>
  </si>
  <si>
    <t xml:space="preserve">19715D</t>
  </si>
  <si>
    <t xml:space="preserve">RC GUTTER</t>
  </si>
  <si>
    <t xml:space="preserve">SOLID</t>
  </si>
  <si>
    <t xml:space="preserve">Yes</t>
  </si>
  <si>
    <t xml:space="preserve">Floor - proposed waterproofing area (green)</t>
  </si>
  <si>
    <t xml:space="preserve">Sikalastic-632 R</t>
  </si>
  <si>
    <t xml:space="preserve">18A2EF</t>
  </si>
  <si>
    <t xml:space="preserve">Buiding trace</t>
  </si>
  <si>
    <t xml:space="preserve">189DEA</t>
  </si>
  <si>
    <t xml:space="preserve">18A2B9</t>
  </si>
  <si>
    <t xml:space="preserve">18A031</t>
  </si>
  <si>
    <t xml:space="preserve">18A04C</t>
  </si>
  <si>
    <t xml:space="preserve">18A331</t>
  </si>
  <si>
    <t xml:space="preserve">18A1E2</t>
  </si>
  <si>
    <t xml:space="preserve">18A173</t>
  </si>
  <si>
    <t xml:space="preserve">189E9B</t>
  </si>
  <si>
    <t xml:space="preserve">189F2D</t>
  </si>
  <si>
    <t xml:space="preserve">189ECB</t>
  </si>
  <si>
    <t xml:space="preserve">189EFB</t>
  </si>
  <si>
    <t xml:space="preserve">189F62</t>
  </si>
  <si>
    <t xml:space="preserve">189F97</t>
  </si>
  <si>
    <t xml:space="preserve">189FD2</t>
  </si>
  <si>
    <t xml:space="preserve">18A271</t>
  </si>
  <si>
    <t xml:space="preserve">18A29C</t>
  </si>
  <si>
    <t xml:space="preserve">18A31B</t>
  </si>
  <si>
    <t xml:space="preserve">18A249</t>
  </si>
  <si>
    <t xml:space="preserve">18A232</t>
  </si>
  <si>
    <t xml:space="preserve">18A054</t>
  </si>
  <si>
    <t xml:space="preserve">18A30E</t>
  </si>
  <si>
    <t xml:space="preserve">18A19D</t>
  </si>
  <si>
    <t xml:space="preserve">18A1A4</t>
  </si>
  <si>
    <t xml:space="preserve">Scupper drain 300mm (yellow)</t>
  </si>
  <si>
    <t xml:space="preserve">189C86</t>
  </si>
  <si>
    <t xml:space="preserve">19712F</t>
  </si>
  <si>
    <t xml:space="preserve">0</t>
  </si>
  <si>
    <t xml:space="preserve">197118</t>
  </si>
  <si>
    <t xml:space="preserve">18BC60</t>
  </si>
  <si>
    <t xml:space="preserve">ANSI31</t>
  </si>
  <si>
    <t xml:space="preserve">No - stray hatch inside building footprint (not on balcony)</t>
  </si>
  <si>
    <t xml:space="preserve">19713E</t>
  </si>
  <si>
    <t xml:space="preserve">18C0B9</t>
  </si>
  <si>
    <t xml:space="preserve">18C0F5</t>
  </si>
  <si>
    <t xml:space="preserve">18C125</t>
  </si>
  <si>
    <t xml:space="preserve">18C06B</t>
  </si>
  <si>
    <t xml:space="preserve">18BA61</t>
  </si>
  <si>
    <t xml:space="preserve">RWDP</t>
  </si>
  <si>
    <t xml:space="preserve">18BA4B</t>
  </si>
  <si>
    <t xml:space="preserve">18BA73</t>
  </si>
  <si>
    <t xml:space="preserve">18BA2B</t>
  </si>
  <si>
    <t xml:space="preserve">18BAE1</t>
  </si>
  <si>
    <t xml:space="preserve">18BA9D</t>
  </si>
  <si>
    <t xml:space="preserve">18BC2C</t>
  </si>
  <si>
    <t xml:space="preserve">18BFFE</t>
  </si>
  <si>
    <t xml:space="preserve">18BA1B</t>
  </si>
  <si>
    <t xml:space="preserve">18BA21</t>
  </si>
  <si>
    <t xml:space="preserve">18BAE7</t>
  </si>
  <si>
    <t xml:space="preserve">18BA39</t>
  </si>
  <si>
    <t xml:space="preserve">18C017</t>
  </si>
  <si>
    <t xml:space="preserve">18C018</t>
  </si>
  <si>
    <t xml:space="preserve">18C01B</t>
  </si>
  <si>
    <t xml:space="preserve">18C01A</t>
  </si>
  <si>
    <t xml:space="preserve">18C019</t>
  </si>
  <si>
    <t xml:space="preserve">18BFF2</t>
  </si>
  <si>
    <t xml:space="preserve">18BFEE</t>
  </si>
  <si>
    <t xml:space="preserve">18BFED</t>
  </si>
  <si>
    <t xml:space="preserve">18BFEC</t>
  </si>
  <si>
    <t xml:space="preserve">18BFF1</t>
  </si>
  <si>
    <t xml:space="preserve">18BFF0</t>
  </si>
  <si>
    <t xml:space="preserve">18BFE2</t>
  </si>
  <si>
    <t xml:space="preserve">18BFF8</t>
  </si>
  <si>
    <t xml:space="preserve">18BFE8</t>
  </si>
  <si>
    <t xml:space="preserve">18BFE0</t>
  </si>
  <si>
    <t xml:space="preserve">18BFE4</t>
  </si>
  <si>
    <t xml:space="preserve">18BFE5</t>
  </si>
  <si>
    <t xml:space="preserve">18BFE6</t>
  </si>
  <si>
    <t xml:space="preserve">18BFE7</t>
  </si>
  <si>
    <t xml:space="preserve">18BFF5</t>
  </si>
  <si>
    <t xml:space="preserve">18BFF7</t>
  </si>
  <si>
    <t xml:space="preserve">18BFE3</t>
  </si>
  <si>
    <t xml:space="preserve">18BFEA</t>
  </si>
  <si>
    <t xml:space="preserve">18BFF3</t>
  </si>
  <si>
    <t xml:space="preserve">18BFDF</t>
  </si>
  <si>
    <t xml:space="preserve">18BFF6</t>
  </si>
  <si>
    <t xml:space="preserve">18BFE9</t>
  </si>
  <si>
    <t xml:space="preserve">18BFF4</t>
  </si>
  <si>
    <t xml:space="preserve">18BFEB</t>
  </si>
  <si>
    <t xml:space="preserve">18BFE1</t>
  </si>
  <si>
    <t xml:space="preserve">18BFEF</t>
  </si>
  <si>
    <t xml:space="preserve">18B9C2</t>
  </si>
  <si>
    <t xml:space="preserve">18B971</t>
  </si>
  <si>
    <t xml:space="preserve">18B9CA</t>
  </si>
  <si>
    <t xml:space="preserve">1970C7</t>
  </si>
  <si>
    <t xml:space="preserve">Waterproof</t>
  </si>
  <si>
    <t xml:space="preserve">1970C1</t>
  </si>
  <si>
    <t xml:space="preserve">19709A</t>
  </si>
  <si>
    <t xml:space="preserve">SCUPPER</t>
  </si>
  <si>
    <t xml:space="preserve">Check totals (sum of individual hatches, before overlap removal)</t>
  </si>
  <si>
    <t xml:space="preserve">RC gutter</t>
  </si>
  <si>
    <t xml:space="preserve">Scupper</t>
  </si>
  <si>
    <t xml:space="preserve">SOURCE</t>
  </si>
  <si>
    <t xml:space="preserve">CAD file: Waterproofing_Contract.dwg (AutoCAD 2018 format, AC1032). Model space contains 7 floor plans (Ground to 6th), a typical section along grid, Details A and a typical cross-section of slab.</t>
  </si>
  <si>
    <t xml:space="preserve">Drawing General Notes state "ALL DIMENSIONS ARE IN MILLIMETER", so hatch areas in mm² were divided by 1,000,000 to give m².</t>
  </si>
  <si>
    <t xml:space="preserve">METHOD</t>
  </si>
  <si>
    <t xml:space="preserve">1. DWG converted to DXF with LibreDWG (WebAssembly build), then read with ezdxf; hatch boundaries (circles, arcs and bulge polylines) were converted to polygons and areas computed with Shapely, honouring the hatch island style (outer loop minus inner loops).</t>
  </si>
  <si>
    <t xml:space="preserve">2. Each hatch was assigned to a floor by the sheet frame it sits in. Legend swatches in the title-block column were excluded.</t>
  </si>
  <si>
    <t xml:space="preserve">3. Categories follow the drawing legend: green hatch = "PROPOSED AREA FOR WATER PROOFING WORK AS PER CONTRACT" (floor); yellow hatch = "PROPOSED NEW 300MM WIDTH X 50MM DEPTH SCUPPER DRAIN"; magenta hatch (layer RC GUTTER, 1st floor) = "EXISTING RC GUTTER TO BE CLEAN AND APPLY WITH WATERPROOFING".</t>
  </si>
  <si>
    <t xml:space="preserve">4. Overlapping hatches of the same category on one floor were unioned so that no area is counted twice (3rd floor: 19.5 m² of overlap removed; 5th floor: 10.8 m²; 6th floor: the two "Waterproof" hatches overlap completely, 380.77 m² used).</t>
  </si>
  <si>
    <t xml:space="preserve">PRODUCT ALLOCATION (assumption - please confirm with the specification)</t>
  </si>
  <si>
    <t xml:space="preserve">Typical Cross-Section of Slab (drawing 11/11) carries two call-outs: "New 3 Layer Of Sikalastic-632 R Water proofing Coat" pointing at the green floor finish, and "New 3 layer coat of Sika Top Seal 107(MY)" pointing at the concrete slab surface at the scupper drain.</t>
  </si>
  <si>
    <t xml:space="preserve">This take-off therefore allocates: Sikalastic-632 R -&gt; balcony floor areas; SikaTop Seal-107 -&gt; existing RC gutter (1st floor) and scupper drains. If the specification requires SikaTop Seal-107 on the whole balcony slab beneath the Sikalastic-632 R, use the floor total (Summary C13) for SikaTop Seal-107 as well.</t>
  </si>
  <si>
    <t xml:space="preserve">LIMITATIONS</t>
  </si>
  <si>
    <t xml:space="preserve">- Plan areas only. Upstands, gutter side walls, scupper drain side faces, kerbs, hob and pipe penetrations are not included (gutter calculator provided on the Summary sheet).</t>
  </si>
  <si>
    <t xml:space="preserve">- Scupper drains are drawn 500 mm wide on the 4th-6th floor plans although the legend says 300 mm; the drawn width was measured.</t>
  </si>
  <si>
    <t xml:space="preserve">- The 4th floor plan contains one stray patterned hatch (CAD handle 18BC60, 24.16 m²) inside the building footprint near the toilets; it is listed in "Hatch detail" but excluded from the totals.</t>
  </si>
  <si>
    <t xml:space="preserve">- Ground and 2nd floor plans show no waterproofing areas (only RWDP coring).</t>
  </si>
  <si>
    <t xml:space="preserve">- Site verification is required; the drawing itself notes the contractor must verify dimensions on site.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</si>
</sst>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.000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F2CC"/>
      </patternFill>
    </fill>
    <fill>
      <patternFill patternType="solid">
        <fgColor rgb="FFC6E0B4"/>
        <bgColor rgb="FFCCFFCC"/>
      </patternFill>
    </fill>
    <fill>
      <patternFill patternType="solid">
        <fgColor rgb="FFFFF59D"/>
        <bgColor rgb="FFFFF2CC"/>
      </patternFill>
    </fill>
    <fill>
      <patternFill patternType="solid">
        <fgColor rgb="FFFFF2CC"/>
        <bgColor rgb="FFFFF59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6" min="6" style="0" width="22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7" t="n">
        <v>0</v>
      </c>
      <c r="D6" s="7" t="n">
        <v>0</v>
      </c>
      <c r="E6" s="7" t="n">
        <v>0</v>
      </c>
      <c r="F6" s="8" t="n">
        <f aca="false">C6-0</f>
        <v>0</v>
      </c>
      <c r="G6" s="9" t="s">
        <v>12</v>
      </c>
    </row>
    <row r="7" customFormat="false" ht="22.35" hidden="false" customHeight="false" outlineLevel="0" collapsed="false">
      <c r="A7" s="5" t="s">
        <v>13</v>
      </c>
      <c r="B7" s="6" t="s">
        <v>14</v>
      </c>
      <c r="C7" s="7" t="n">
        <v>0</v>
      </c>
      <c r="D7" s="10" t="n">
        <v>309.84</v>
      </c>
      <c r="E7" s="7" t="n">
        <v>0</v>
      </c>
      <c r="F7" s="8" t="n">
        <f aca="false">C7-0</f>
        <v>0</v>
      </c>
      <c r="G7" s="9" t="s">
        <v>15</v>
      </c>
    </row>
    <row r="8" customFormat="false" ht="15" hidden="false" customHeight="false" outlineLevel="0" collapsed="false">
      <c r="A8" s="5" t="s">
        <v>16</v>
      </c>
      <c r="B8" s="6" t="s">
        <v>17</v>
      </c>
      <c r="C8" s="7" t="n">
        <v>0</v>
      </c>
      <c r="D8" s="7" t="n">
        <v>0</v>
      </c>
      <c r="E8" s="7" t="n">
        <v>0</v>
      </c>
      <c r="F8" s="8" t="n">
        <f aca="false">C8-0</f>
        <v>0</v>
      </c>
      <c r="G8" s="9" t="s">
        <v>18</v>
      </c>
    </row>
    <row r="9" customFormat="false" ht="15" hidden="false" customHeight="false" outlineLevel="0" collapsed="false">
      <c r="A9" s="5" t="s">
        <v>19</v>
      </c>
      <c r="B9" s="6" t="s">
        <v>20</v>
      </c>
      <c r="C9" s="11" t="n">
        <v>960.85</v>
      </c>
      <c r="D9" s="7" t="n">
        <v>0</v>
      </c>
      <c r="E9" s="12" t="n">
        <v>110.49</v>
      </c>
      <c r="F9" s="8" t="n">
        <f aca="false">C9-3.02</f>
        <v>957.83</v>
      </c>
      <c r="G9" s="9" t="s">
        <v>21</v>
      </c>
    </row>
    <row r="10" customFormat="false" ht="22.35" hidden="false" customHeight="false" outlineLevel="0" collapsed="false">
      <c r="A10" s="5" t="s">
        <v>22</v>
      </c>
      <c r="B10" s="6" t="s">
        <v>23</v>
      </c>
      <c r="C10" s="11" t="n">
        <v>793.02</v>
      </c>
      <c r="D10" s="7" t="n">
        <v>0</v>
      </c>
      <c r="E10" s="12" t="n">
        <v>96.79</v>
      </c>
      <c r="F10" s="8" t="n">
        <f aca="false">C10-0</f>
        <v>793.02</v>
      </c>
      <c r="G10" s="9" t="s">
        <v>24</v>
      </c>
    </row>
    <row r="11" customFormat="false" ht="22.35" hidden="false" customHeight="false" outlineLevel="0" collapsed="false">
      <c r="A11" s="5" t="s">
        <v>25</v>
      </c>
      <c r="B11" s="6" t="s">
        <v>26</v>
      </c>
      <c r="C11" s="11" t="n">
        <v>553.47</v>
      </c>
      <c r="D11" s="7" t="n">
        <v>0</v>
      </c>
      <c r="E11" s="12" t="n">
        <v>72.02</v>
      </c>
      <c r="F11" s="8" t="n">
        <f aca="false">C11-5.89</f>
        <v>547.58</v>
      </c>
      <c r="G11" s="9" t="s">
        <v>27</v>
      </c>
    </row>
    <row r="12" customFormat="false" ht="22.35" hidden="false" customHeight="false" outlineLevel="0" collapsed="false">
      <c r="A12" s="5" t="s">
        <v>28</v>
      </c>
      <c r="B12" s="6" t="s">
        <v>29</v>
      </c>
      <c r="C12" s="11" t="n">
        <v>380.76</v>
      </c>
      <c r="D12" s="7" t="n">
        <v>0</v>
      </c>
      <c r="E12" s="12" t="n">
        <v>58.6</v>
      </c>
      <c r="F12" s="8" t="n">
        <f aca="false">C12-58.6</f>
        <v>322.16</v>
      </c>
      <c r="G12" s="9" t="s">
        <v>30</v>
      </c>
    </row>
    <row r="13" customFormat="false" ht="15" hidden="false" customHeight="false" outlineLevel="0" collapsed="false">
      <c r="A13" s="13" t="s">
        <v>31</v>
      </c>
      <c r="B13" s="14"/>
      <c r="C13" s="15" t="n">
        <f aca="false">SUM(C6:C12)</f>
        <v>2688.1</v>
      </c>
      <c r="D13" s="15" t="n">
        <f aca="false">SUM(D6:D12)</f>
        <v>309.84</v>
      </c>
      <c r="E13" s="15" t="n">
        <f aca="false">SUM(E6:E12)</f>
        <v>337.9</v>
      </c>
      <c r="F13" s="15" t="n">
        <f aca="false">SUM(F6:F12)</f>
        <v>2620.59</v>
      </c>
      <c r="G13" s="14"/>
    </row>
    <row r="16" customFormat="false" ht="15" hidden="false" customHeight="false" outlineLevel="0" collapsed="false">
      <c r="A16" s="16" t="s">
        <v>32</v>
      </c>
    </row>
    <row r="17" customFormat="false" ht="31.5" hidden="false" customHeight="true" outlineLevel="0" collapsed="false">
      <c r="A17" s="4" t="s">
        <v>33</v>
      </c>
      <c r="B17" s="4" t="s">
        <v>34</v>
      </c>
      <c r="C17" s="4" t="s">
        <v>35</v>
      </c>
      <c r="D17" s="4" t="s">
        <v>36</v>
      </c>
      <c r="E17" s="4" t="s">
        <v>37</v>
      </c>
      <c r="F17" s="4" t="s">
        <v>38</v>
      </c>
    </row>
    <row r="18" customFormat="false" ht="64.15" hidden="false" customHeight="false" outlineLevel="0" collapsed="false">
      <c r="A18" s="5" t="s">
        <v>39</v>
      </c>
      <c r="B18" s="9" t="s">
        <v>40</v>
      </c>
      <c r="C18" s="8" t="n">
        <f aca="false">C13</f>
        <v>2688.1</v>
      </c>
      <c r="D18" s="17" t="n">
        <v>0.1</v>
      </c>
      <c r="E18" s="18" t="n">
        <f aca="false">C18*(1+D18)</f>
        <v>2956.91</v>
      </c>
      <c r="F18" s="9" t="s">
        <v>41</v>
      </c>
    </row>
    <row r="19" customFormat="false" ht="43.25" hidden="false" customHeight="false" outlineLevel="0" collapsed="false">
      <c r="A19" s="5" t="s">
        <v>42</v>
      </c>
      <c r="B19" s="9" t="s">
        <v>43</v>
      </c>
      <c r="C19" s="8" t="n">
        <f aca="false">D13</f>
        <v>309.84</v>
      </c>
      <c r="D19" s="17" t="n">
        <v>0.1</v>
      </c>
      <c r="E19" s="18" t="n">
        <f aca="false">C19*(1+D19)</f>
        <v>340.824</v>
      </c>
      <c r="F19" s="9" t="s">
        <v>44</v>
      </c>
    </row>
    <row r="20" customFormat="false" ht="64.15" hidden="false" customHeight="false" outlineLevel="0" collapsed="false">
      <c r="A20" s="5" t="s">
        <v>45</v>
      </c>
      <c r="B20" s="9" t="s">
        <v>46</v>
      </c>
      <c r="C20" s="8" t="n">
        <f aca="false">E13</f>
        <v>337.9</v>
      </c>
      <c r="D20" s="17" t="n">
        <v>0.1</v>
      </c>
      <c r="E20" s="18" t="n">
        <f aca="false">C20*(1+D20)</f>
        <v>371.69</v>
      </c>
      <c r="F20" s="9" t="s">
        <v>47</v>
      </c>
    </row>
    <row r="21" customFormat="false" ht="15" hidden="false" customHeight="false" outlineLevel="0" collapsed="false">
      <c r="A21" s="5" t="s">
        <v>48</v>
      </c>
      <c r="B21" s="9" t="s">
        <v>49</v>
      </c>
      <c r="C21" s="8" t="n">
        <f aca="false">C19+C20</f>
        <v>647.74</v>
      </c>
      <c r="D21" s="19" t="n">
        <f aca="false">D19</f>
        <v>0.1</v>
      </c>
      <c r="E21" s="18" t="n">
        <f aca="false">E19+E20</f>
        <v>712.514</v>
      </c>
      <c r="F21" s="9" t="s">
        <v>50</v>
      </c>
    </row>
    <row r="22" customFormat="false" ht="15" hidden="false" customHeight="false" outlineLevel="0" collapsed="false">
      <c r="A22" s="2" t="s">
        <v>51</v>
      </c>
    </row>
    <row r="25" customFormat="false" ht="15" hidden="false" customHeight="false" outlineLevel="0" collapsed="false">
      <c r="A25" s="16" t="s">
        <v>52</v>
      </c>
    </row>
    <row r="26" customFormat="false" ht="15" hidden="false" customHeight="false" outlineLevel="0" collapsed="false">
      <c r="A26" s="20" t="s">
        <v>53</v>
      </c>
      <c r="B26" s="21" t="n">
        <v>99.6</v>
      </c>
      <c r="C26" s="22" t="s">
        <v>54</v>
      </c>
    </row>
    <row r="27" customFormat="false" ht="15" hidden="false" customHeight="false" outlineLevel="0" collapsed="false">
      <c r="A27" s="20" t="s">
        <v>55</v>
      </c>
      <c r="B27" s="21" t="n">
        <v>97.6</v>
      </c>
      <c r="C27" s="22" t="s">
        <v>56</v>
      </c>
    </row>
    <row r="28" customFormat="false" ht="15" hidden="false" customHeight="false" outlineLevel="0" collapsed="false">
      <c r="A28" s="20" t="s">
        <v>57</v>
      </c>
      <c r="B28" s="23" t="n">
        <f aca="false">(B26-B27)/2</f>
        <v>1</v>
      </c>
      <c r="C28" s="22" t="s">
        <v>58</v>
      </c>
    </row>
    <row r="29" customFormat="false" ht="15" hidden="false" customHeight="false" outlineLevel="0" collapsed="false">
      <c r="A29" s="20" t="s">
        <v>59</v>
      </c>
      <c r="B29" s="23" t="n">
        <f aca="false">PI()*(B26+B27)/2</f>
        <v>309.761035643954</v>
      </c>
      <c r="C29" s="22" t="s">
        <v>60</v>
      </c>
    </row>
    <row r="30" customFormat="false" ht="15" hidden="false" customHeight="false" outlineLevel="0" collapsed="false">
      <c r="A30" s="20" t="s">
        <v>61</v>
      </c>
      <c r="B30" s="23" t="n">
        <f aca="false">PI()/4*(B26^2-B27^2)</f>
        <v>309.761035643953</v>
      </c>
      <c r="C30" s="22" t="s">
        <v>62</v>
      </c>
    </row>
    <row r="31" customFormat="false" ht="15" hidden="false" customHeight="false" outlineLevel="0" collapsed="false">
      <c r="A31" s="20" t="s">
        <v>63</v>
      </c>
      <c r="B31" s="24" t="n">
        <v>0</v>
      </c>
      <c r="C31" s="22" t="s">
        <v>64</v>
      </c>
    </row>
    <row r="32" customFormat="false" ht="15" hidden="false" customHeight="false" outlineLevel="0" collapsed="false">
      <c r="A32" s="20" t="s">
        <v>65</v>
      </c>
      <c r="B32" s="23" t="n">
        <f aca="false">2*B29*B31</f>
        <v>0</v>
      </c>
      <c r="C32" s="22" t="s">
        <v>66</v>
      </c>
    </row>
    <row r="33" customFormat="false" ht="15" hidden="false" customHeight="false" outlineLevel="0" collapsed="false">
      <c r="A33" s="20" t="s">
        <v>67</v>
      </c>
      <c r="B33" s="23" t="n">
        <f aca="false">B30+B32</f>
        <v>309.761035643953</v>
      </c>
      <c r="C33" s="2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8" min="6" style="0" width="9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2" t="s">
        <v>68</v>
      </c>
    </row>
    <row r="3" customFormat="false" ht="31.5" hidden="false" customHeight="true" outlineLevel="0" collapsed="false">
      <c r="A3" s="4" t="s">
        <v>3</v>
      </c>
      <c r="B3" s="4" t="s">
        <v>69</v>
      </c>
      <c r="C3" s="4" t="s">
        <v>33</v>
      </c>
      <c r="D3" s="4" t="s">
        <v>70</v>
      </c>
      <c r="E3" s="4" t="s">
        <v>71</v>
      </c>
      <c r="F3" s="4" t="s">
        <v>72</v>
      </c>
      <c r="G3" s="4" t="s">
        <v>73</v>
      </c>
      <c r="H3" s="4" t="s">
        <v>74</v>
      </c>
      <c r="I3" s="4" t="s">
        <v>35</v>
      </c>
      <c r="J3" s="4" t="s">
        <v>75</v>
      </c>
      <c r="K3" s="4" t="s">
        <v>76</v>
      </c>
      <c r="L3" s="4" t="s">
        <v>77</v>
      </c>
    </row>
    <row r="4" customFormat="false" ht="15" hidden="false" customHeight="false" outlineLevel="0" collapsed="false">
      <c r="A4" s="25" t="s">
        <v>13</v>
      </c>
      <c r="B4" s="26" t="s">
        <v>78</v>
      </c>
      <c r="C4" s="25" t="s">
        <v>79</v>
      </c>
      <c r="D4" s="25" t="s">
        <v>80</v>
      </c>
      <c r="E4" s="25" t="s">
        <v>81</v>
      </c>
      <c r="F4" s="25" t="n">
        <v>6</v>
      </c>
      <c r="G4" s="25" t="s">
        <v>82</v>
      </c>
      <c r="H4" s="25" t="n">
        <v>2</v>
      </c>
      <c r="I4" s="27" t="n">
        <v>309.84</v>
      </c>
      <c r="J4" s="28" t="n">
        <v>939507</v>
      </c>
      <c r="K4" s="28" t="n">
        <v>-789667</v>
      </c>
      <c r="L4" s="25" t="s">
        <v>83</v>
      </c>
    </row>
    <row r="5" customFormat="false" ht="15" hidden="false" customHeight="false" outlineLevel="0" collapsed="false">
      <c r="A5" s="25" t="s">
        <v>19</v>
      </c>
      <c r="B5" s="29" t="s">
        <v>84</v>
      </c>
      <c r="C5" s="25" t="s">
        <v>85</v>
      </c>
      <c r="D5" s="25" t="s">
        <v>86</v>
      </c>
      <c r="E5" s="25" t="s">
        <v>87</v>
      </c>
      <c r="F5" s="25" t="n">
        <v>114</v>
      </c>
      <c r="G5" s="25" t="s">
        <v>82</v>
      </c>
      <c r="H5" s="25" t="n">
        <v>12</v>
      </c>
      <c r="I5" s="27" t="n">
        <v>148.328</v>
      </c>
      <c r="J5" s="28" t="n">
        <v>951836</v>
      </c>
      <c r="K5" s="28" t="n">
        <v>-1219737</v>
      </c>
      <c r="L5" s="25" t="s">
        <v>83</v>
      </c>
    </row>
    <row r="6" customFormat="false" ht="15" hidden="false" customHeight="false" outlineLevel="0" collapsed="false">
      <c r="A6" s="25" t="s">
        <v>19</v>
      </c>
      <c r="B6" s="29" t="s">
        <v>84</v>
      </c>
      <c r="C6" s="25" t="s">
        <v>85</v>
      </c>
      <c r="D6" s="25" t="s">
        <v>88</v>
      </c>
      <c r="E6" s="25" t="s">
        <v>87</v>
      </c>
      <c r="F6" s="25" t="n">
        <v>114</v>
      </c>
      <c r="G6" s="25" t="s">
        <v>82</v>
      </c>
      <c r="H6" s="25" t="n">
        <v>23</v>
      </c>
      <c r="I6" s="27" t="n">
        <v>119.388</v>
      </c>
      <c r="J6" s="28" t="n">
        <v>942951</v>
      </c>
      <c r="K6" s="28" t="n">
        <v>-1165016</v>
      </c>
      <c r="L6" s="25" t="s">
        <v>83</v>
      </c>
    </row>
    <row r="7" customFormat="false" ht="15" hidden="false" customHeight="false" outlineLevel="0" collapsed="false">
      <c r="A7" s="25" t="s">
        <v>19</v>
      </c>
      <c r="B7" s="29" t="s">
        <v>84</v>
      </c>
      <c r="C7" s="25" t="s">
        <v>85</v>
      </c>
      <c r="D7" s="25" t="s">
        <v>89</v>
      </c>
      <c r="E7" s="25" t="s">
        <v>87</v>
      </c>
      <c r="F7" s="25" t="n">
        <v>114</v>
      </c>
      <c r="G7" s="25" t="s">
        <v>82</v>
      </c>
      <c r="H7" s="25" t="n">
        <v>6</v>
      </c>
      <c r="I7" s="27" t="n">
        <v>74.068</v>
      </c>
      <c r="J7" s="28" t="n">
        <v>961070</v>
      </c>
      <c r="K7" s="28" t="n">
        <v>-1184427</v>
      </c>
      <c r="L7" s="25" t="s">
        <v>83</v>
      </c>
    </row>
    <row r="8" customFormat="false" ht="15" hidden="false" customHeight="false" outlineLevel="0" collapsed="false">
      <c r="A8" s="25" t="s">
        <v>19</v>
      </c>
      <c r="B8" s="29" t="s">
        <v>84</v>
      </c>
      <c r="C8" s="25" t="s">
        <v>85</v>
      </c>
      <c r="D8" s="25" t="s">
        <v>90</v>
      </c>
      <c r="E8" s="25" t="s">
        <v>87</v>
      </c>
      <c r="F8" s="25" t="n">
        <v>114</v>
      </c>
      <c r="G8" s="25" t="s">
        <v>82</v>
      </c>
      <c r="H8" s="25" t="n">
        <v>10</v>
      </c>
      <c r="I8" s="27" t="n">
        <v>53.637</v>
      </c>
      <c r="J8" s="28" t="n">
        <v>899459</v>
      </c>
      <c r="K8" s="28" t="n">
        <v>-1217445</v>
      </c>
      <c r="L8" s="25" t="s">
        <v>83</v>
      </c>
    </row>
    <row r="9" customFormat="false" ht="15" hidden="false" customHeight="false" outlineLevel="0" collapsed="false">
      <c r="A9" s="25" t="s">
        <v>19</v>
      </c>
      <c r="B9" s="29" t="s">
        <v>84</v>
      </c>
      <c r="C9" s="25" t="s">
        <v>85</v>
      </c>
      <c r="D9" s="25" t="s">
        <v>91</v>
      </c>
      <c r="E9" s="25" t="s">
        <v>87</v>
      </c>
      <c r="F9" s="25" t="n">
        <v>114</v>
      </c>
      <c r="G9" s="25" t="s">
        <v>82</v>
      </c>
      <c r="H9" s="25" t="n">
        <v>4</v>
      </c>
      <c r="I9" s="27" t="n">
        <v>52</v>
      </c>
      <c r="J9" s="28" t="n">
        <v>924683</v>
      </c>
      <c r="K9" s="28" t="n">
        <v>-1197276</v>
      </c>
      <c r="L9" s="25" t="s">
        <v>83</v>
      </c>
    </row>
    <row r="10" customFormat="false" ht="15" hidden="false" customHeight="false" outlineLevel="0" collapsed="false">
      <c r="A10" s="25" t="s">
        <v>19</v>
      </c>
      <c r="B10" s="29" t="s">
        <v>84</v>
      </c>
      <c r="C10" s="25" t="s">
        <v>85</v>
      </c>
      <c r="D10" s="25" t="s">
        <v>92</v>
      </c>
      <c r="E10" s="25" t="s">
        <v>87</v>
      </c>
      <c r="F10" s="25" t="n">
        <v>114</v>
      </c>
      <c r="G10" s="25" t="s">
        <v>82</v>
      </c>
      <c r="H10" s="25" t="n">
        <v>4</v>
      </c>
      <c r="I10" s="27" t="n">
        <v>49.443</v>
      </c>
      <c r="J10" s="28" t="n">
        <v>914501</v>
      </c>
      <c r="K10" s="28" t="n">
        <v>-1227865</v>
      </c>
      <c r="L10" s="25" t="s">
        <v>83</v>
      </c>
    </row>
    <row r="11" customFormat="false" ht="15" hidden="false" customHeight="false" outlineLevel="0" collapsed="false">
      <c r="A11" s="25" t="s">
        <v>19</v>
      </c>
      <c r="B11" s="29" t="s">
        <v>84</v>
      </c>
      <c r="C11" s="25" t="s">
        <v>85</v>
      </c>
      <c r="D11" s="25" t="s">
        <v>93</v>
      </c>
      <c r="E11" s="25" t="s">
        <v>87</v>
      </c>
      <c r="F11" s="25" t="n">
        <v>114</v>
      </c>
      <c r="G11" s="25" t="s">
        <v>82</v>
      </c>
      <c r="H11" s="25" t="n">
        <v>6</v>
      </c>
      <c r="I11" s="27" t="n">
        <v>40.622</v>
      </c>
      <c r="J11" s="28" t="n">
        <v>943655</v>
      </c>
      <c r="K11" s="28" t="n">
        <v>-1231490</v>
      </c>
      <c r="L11" s="25" t="s">
        <v>83</v>
      </c>
    </row>
    <row r="12" customFormat="false" ht="15" hidden="false" customHeight="false" outlineLevel="0" collapsed="false">
      <c r="A12" s="25" t="s">
        <v>19</v>
      </c>
      <c r="B12" s="29" t="s">
        <v>84</v>
      </c>
      <c r="C12" s="25" t="s">
        <v>85</v>
      </c>
      <c r="D12" s="25" t="s">
        <v>94</v>
      </c>
      <c r="E12" s="25" t="s">
        <v>87</v>
      </c>
      <c r="F12" s="25" t="n">
        <v>114</v>
      </c>
      <c r="G12" s="25" t="s">
        <v>82</v>
      </c>
      <c r="H12" s="25" t="n">
        <v>6</v>
      </c>
      <c r="I12" s="27" t="n">
        <v>40.611</v>
      </c>
      <c r="J12" s="28" t="n">
        <v>915467</v>
      </c>
      <c r="K12" s="28" t="n">
        <v>-1231492</v>
      </c>
      <c r="L12" s="25" t="s">
        <v>83</v>
      </c>
    </row>
    <row r="13" customFormat="false" ht="15" hidden="false" customHeight="false" outlineLevel="0" collapsed="false">
      <c r="A13" s="25" t="s">
        <v>19</v>
      </c>
      <c r="B13" s="29" t="s">
        <v>84</v>
      </c>
      <c r="C13" s="25" t="s">
        <v>85</v>
      </c>
      <c r="D13" s="25" t="s">
        <v>95</v>
      </c>
      <c r="E13" s="25" t="s">
        <v>87</v>
      </c>
      <c r="F13" s="25" t="n">
        <v>114</v>
      </c>
      <c r="G13" s="25" t="s">
        <v>82</v>
      </c>
      <c r="H13" s="25" t="n">
        <v>8</v>
      </c>
      <c r="I13" s="27" t="n">
        <v>40.197</v>
      </c>
      <c r="J13" s="28" t="n">
        <v>924871</v>
      </c>
      <c r="K13" s="28" t="n">
        <v>-1161841</v>
      </c>
      <c r="L13" s="25" t="s">
        <v>83</v>
      </c>
    </row>
    <row r="14" customFormat="false" ht="15" hidden="false" customHeight="false" outlineLevel="0" collapsed="false">
      <c r="A14" s="25" t="s">
        <v>19</v>
      </c>
      <c r="B14" s="29" t="s">
        <v>84</v>
      </c>
      <c r="C14" s="25" t="s">
        <v>85</v>
      </c>
      <c r="D14" s="25" t="s">
        <v>96</v>
      </c>
      <c r="E14" s="25" t="s">
        <v>87</v>
      </c>
      <c r="F14" s="25" t="n">
        <v>114</v>
      </c>
      <c r="G14" s="25" t="s">
        <v>82</v>
      </c>
      <c r="H14" s="25" t="n">
        <v>8</v>
      </c>
      <c r="I14" s="27" t="n">
        <v>40.196</v>
      </c>
      <c r="J14" s="28" t="n">
        <v>901057</v>
      </c>
      <c r="K14" s="28" t="n">
        <v>-1175590</v>
      </c>
      <c r="L14" s="25" t="s">
        <v>83</v>
      </c>
    </row>
    <row r="15" customFormat="false" ht="15" hidden="false" customHeight="false" outlineLevel="0" collapsed="false">
      <c r="A15" s="25" t="s">
        <v>19</v>
      </c>
      <c r="B15" s="29" t="s">
        <v>84</v>
      </c>
      <c r="C15" s="25" t="s">
        <v>85</v>
      </c>
      <c r="D15" s="25" t="s">
        <v>97</v>
      </c>
      <c r="E15" s="25" t="s">
        <v>87</v>
      </c>
      <c r="F15" s="25" t="n">
        <v>114</v>
      </c>
      <c r="G15" s="25" t="s">
        <v>82</v>
      </c>
      <c r="H15" s="25" t="n">
        <v>8</v>
      </c>
      <c r="I15" s="27" t="n">
        <v>40.195</v>
      </c>
      <c r="J15" s="28" t="n">
        <v>915811</v>
      </c>
      <c r="K15" s="28" t="n">
        <v>-1164269</v>
      </c>
      <c r="L15" s="25" t="s">
        <v>83</v>
      </c>
    </row>
    <row r="16" customFormat="false" ht="15" hidden="false" customHeight="false" outlineLevel="0" collapsed="false">
      <c r="A16" s="25" t="s">
        <v>19</v>
      </c>
      <c r="B16" s="29" t="s">
        <v>84</v>
      </c>
      <c r="C16" s="25" t="s">
        <v>85</v>
      </c>
      <c r="D16" s="25" t="s">
        <v>98</v>
      </c>
      <c r="E16" s="25" t="s">
        <v>87</v>
      </c>
      <c r="F16" s="25" t="n">
        <v>114</v>
      </c>
      <c r="G16" s="25" t="s">
        <v>82</v>
      </c>
      <c r="H16" s="25" t="n">
        <v>8</v>
      </c>
      <c r="I16" s="27" t="n">
        <v>40.195</v>
      </c>
      <c r="J16" s="28" t="n">
        <v>907689</v>
      </c>
      <c r="K16" s="28" t="n">
        <v>-1168958</v>
      </c>
      <c r="L16" s="25" t="s">
        <v>83</v>
      </c>
    </row>
    <row r="17" customFormat="false" ht="15" hidden="false" customHeight="false" outlineLevel="0" collapsed="false">
      <c r="A17" s="25" t="s">
        <v>19</v>
      </c>
      <c r="B17" s="29" t="s">
        <v>84</v>
      </c>
      <c r="C17" s="25" t="s">
        <v>85</v>
      </c>
      <c r="D17" s="25" t="s">
        <v>99</v>
      </c>
      <c r="E17" s="25" t="s">
        <v>87</v>
      </c>
      <c r="F17" s="25" t="n">
        <v>114</v>
      </c>
      <c r="G17" s="25" t="s">
        <v>82</v>
      </c>
      <c r="H17" s="25" t="n">
        <v>8</v>
      </c>
      <c r="I17" s="27" t="n">
        <v>40.099</v>
      </c>
      <c r="J17" s="28" t="n">
        <v>896371</v>
      </c>
      <c r="K17" s="28" t="n">
        <v>-1183704</v>
      </c>
      <c r="L17" s="25" t="s">
        <v>83</v>
      </c>
    </row>
    <row r="18" customFormat="false" ht="15" hidden="false" customHeight="false" outlineLevel="0" collapsed="false">
      <c r="A18" s="25" t="s">
        <v>19</v>
      </c>
      <c r="B18" s="29" t="s">
        <v>84</v>
      </c>
      <c r="C18" s="25" t="s">
        <v>85</v>
      </c>
      <c r="D18" s="25" t="s">
        <v>100</v>
      </c>
      <c r="E18" s="25" t="s">
        <v>87</v>
      </c>
      <c r="F18" s="25" t="n">
        <v>114</v>
      </c>
      <c r="G18" s="25" t="s">
        <v>82</v>
      </c>
      <c r="H18" s="25" t="n">
        <v>8</v>
      </c>
      <c r="I18" s="27" t="n">
        <v>40.004</v>
      </c>
      <c r="J18" s="28" t="n">
        <v>893941</v>
      </c>
      <c r="K18" s="28" t="n">
        <v>-1192771</v>
      </c>
      <c r="L18" s="25" t="s">
        <v>83</v>
      </c>
    </row>
    <row r="19" customFormat="false" ht="15" hidden="false" customHeight="false" outlineLevel="0" collapsed="false">
      <c r="A19" s="25" t="s">
        <v>19</v>
      </c>
      <c r="B19" s="29" t="s">
        <v>84</v>
      </c>
      <c r="C19" s="25" t="s">
        <v>85</v>
      </c>
      <c r="D19" s="25" t="s">
        <v>101</v>
      </c>
      <c r="E19" s="25" t="s">
        <v>87</v>
      </c>
      <c r="F19" s="25" t="n">
        <v>114</v>
      </c>
      <c r="G19" s="25" t="s">
        <v>82</v>
      </c>
      <c r="H19" s="25" t="n">
        <v>9</v>
      </c>
      <c r="I19" s="27" t="n">
        <v>35.126</v>
      </c>
      <c r="J19" s="28" t="n">
        <v>893854</v>
      </c>
      <c r="K19" s="28" t="n">
        <v>-1202385</v>
      </c>
      <c r="L19" s="25" t="s">
        <v>83</v>
      </c>
    </row>
    <row r="20" customFormat="false" ht="15" hidden="false" customHeight="false" outlineLevel="0" collapsed="false">
      <c r="A20" s="25" t="s">
        <v>19</v>
      </c>
      <c r="B20" s="29" t="s">
        <v>84</v>
      </c>
      <c r="C20" s="25" t="s">
        <v>85</v>
      </c>
      <c r="D20" s="25" t="s">
        <v>102</v>
      </c>
      <c r="E20" s="25" t="s">
        <v>87</v>
      </c>
      <c r="F20" s="25" t="n">
        <v>114</v>
      </c>
      <c r="G20" s="25" t="s">
        <v>82</v>
      </c>
      <c r="H20" s="25" t="n">
        <v>4</v>
      </c>
      <c r="I20" s="27" t="n">
        <v>27.081</v>
      </c>
      <c r="J20" s="28" t="n">
        <v>966927</v>
      </c>
      <c r="K20" s="28" t="n">
        <v>-1197461</v>
      </c>
      <c r="L20" s="25" t="s">
        <v>83</v>
      </c>
    </row>
    <row r="21" customFormat="false" ht="15" hidden="false" customHeight="false" outlineLevel="0" collapsed="false">
      <c r="A21" s="25" t="s">
        <v>19</v>
      </c>
      <c r="B21" s="29" t="s">
        <v>84</v>
      </c>
      <c r="C21" s="25" t="s">
        <v>85</v>
      </c>
      <c r="D21" s="25" t="s">
        <v>103</v>
      </c>
      <c r="E21" s="25" t="s">
        <v>87</v>
      </c>
      <c r="F21" s="25" t="n">
        <v>114</v>
      </c>
      <c r="G21" s="25" t="s">
        <v>82</v>
      </c>
      <c r="H21" s="25" t="n">
        <v>4</v>
      </c>
      <c r="I21" s="27" t="n">
        <v>27.081</v>
      </c>
      <c r="J21" s="28" t="n">
        <v>961921</v>
      </c>
      <c r="K21" s="28" t="n">
        <v>-1178777</v>
      </c>
      <c r="L21" s="25" t="s">
        <v>83</v>
      </c>
    </row>
    <row r="22" customFormat="false" ht="15" hidden="false" customHeight="false" outlineLevel="0" collapsed="false">
      <c r="A22" s="25" t="s">
        <v>19</v>
      </c>
      <c r="B22" s="29" t="s">
        <v>84</v>
      </c>
      <c r="C22" s="25" t="s">
        <v>85</v>
      </c>
      <c r="D22" s="25" t="s">
        <v>104</v>
      </c>
      <c r="E22" s="25" t="s">
        <v>87</v>
      </c>
      <c r="F22" s="25" t="n">
        <v>114</v>
      </c>
      <c r="G22" s="25" t="s">
        <v>82</v>
      </c>
      <c r="H22" s="25" t="n">
        <v>2</v>
      </c>
      <c r="I22" s="27" t="n">
        <v>15.526</v>
      </c>
      <c r="J22" s="28" t="n">
        <v>918193</v>
      </c>
      <c r="K22" s="28" t="n">
        <v>-1230892</v>
      </c>
      <c r="L22" s="25" t="s">
        <v>83</v>
      </c>
    </row>
    <row r="23" customFormat="false" ht="15" hidden="false" customHeight="false" outlineLevel="0" collapsed="false">
      <c r="A23" s="25" t="s">
        <v>19</v>
      </c>
      <c r="B23" s="29" t="s">
        <v>84</v>
      </c>
      <c r="C23" s="25" t="s">
        <v>85</v>
      </c>
      <c r="D23" s="25" t="s">
        <v>105</v>
      </c>
      <c r="E23" s="25" t="s">
        <v>87</v>
      </c>
      <c r="F23" s="25" t="n">
        <v>114</v>
      </c>
      <c r="G23" s="25" t="s">
        <v>82</v>
      </c>
      <c r="H23" s="25" t="n">
        <v>2</v>
      </c>
      <c r="I23" s="27" t="n">
        <v>13.54</v>
      </c>
      <c r="J23" s="28" t="n">
        <v>964381</v>
      </c>
      <c r="K23" s="28" t="n">
        <v>-1211883</v>
      </c>
      <c r="L23" s="25" t="s">
        <v>83</v>
      </c>
    </row>
    <row r="24" customFormat="false" ht="15" hidden="false" customHeight="false" outlineLevel="0" collapsed="false">
      <c r="A24" s="25" t="s">
        <v>19</v>
      </c>
      <c r="B24" s="29" t="s">
        <v>84</v>
      </c>
      <c r="C24" s="25" t="s">
        <v>85</v>
      </c>
      <c r="D24" s="25" t="s">
        <v>106</v>
      </c>
      <c r="E24" s="25" t="s">
        <v>87</v>
      </c>
      <c r="F24" s="25" t="n">
        <v>114</v>
      </c>
      <c r="G24" s="25" t="s">
        <v>82</v>
      </c>
      <c r="H24" s="25" t="n">
        <v>2</v>
      </c>
      <c r="I24" s="27" t="n">
        <v>13.54</v>
      </c>
      <c r="J24" s="28" t="n">
        <v>959461</v>
      </c>
      <c r="K24" s="28" t="n">
        <v>-1220404</v>
      </c>
      <c r="L24" s="25" t="s">
        <v>83</v>
      </c>
    </row>
    <row r="25" customFormat="false" ht="15" hidden="false" customHeight="false" outlineLevel="0" collapsed="false">
      <c r="A25" s="25" t="s">
        <v>19</v>
      </c>
      <c r="B25" s="29" t="s">
        <v>84</v>
      </c>
      <c r="C25" s="25" t="s">
        <v>85</v>
      </c>
      <c r="D25" s="25" t="s">
        <v>107</v>
      </c>
      <c r="E25" s="25" t="s">
        <v>87</v>
      </c>
      <c r="F25" s="25" t="n">
        <v>114</v>
      </c>
      <c r="G25" s="25" t="s">
        <v>82</v>
      </c>
      <c r="H25" s="25" t="n">
        <v>1</v>
      </c>
      <c r="I25" s="27" t="n">
        <v>12.362</v>
      </c>
      <c r="J25" s="28" t="n">
        <v>896449</v>
      </c>
      <c r="K25" s="28" t="n">
        <v>-1208700</v>
      </c>
      <c r="L25" s="25" t="s">
        <v>83</v>
      </c>
    </row>
    <row r="26" customFormat="false" ht="15" hidden="false" customHeight="false" outlineLevel="0" collapsed="false">
      <c r="A26" s="25" t="s">
        <v>19</v>
      </c>
      <c r="B26" s="29" t="s">
        <v>84</v>
      </c>
      <c r="C26" s="25" t="s">
        <v>85</v>
      </c>
      <c r="D26" s="25" t="s">
        <v>108</v>
      </c>
      <c r="E26" s="25" t="s">
        <v>87</v>
      </c>
      <c r="F26" s="25" t="n">
        <v>114</v>
      </c>
      <c r="G26" s="25" t="s">
        <v>82</v>
      </c>
      <c r="H26" s="25" t="n">
        <v>1</v>
      </c>
      <c r="I26" s="27" t="n">
        <v>12.361</v>
      </c>
      <c r="J26" s="28" t="n">
        <v>922738</v>
      </c>
      <c r="K26" s="28" t="n">
        <v>-1231756</v>
      </c>
      <c r="L26" s="25" t="s">
        <v>83</v>
      </c>
    </row>
    <row r="27" customFormat="false" ht="15" hidden="false" customHeight="false" outlineLevel="0" collapsed="false">
      <c r="A27" s="25" t="s">
        <v>19</v>
      </c>
      <c r="B27" s="29" t="s">
        <v>84</v>
      </c>
      <c r="C27" s="25" t="s">
        <v>85</v>
      </c>
      <c r="D27" s="25" t="s">
        <v>109</v>
      </c>
      <c r="E27" s="25" t="s">
        <v>87</v>
      </c>
      <c r="F27" s="25" t="n">
        <v>114</v>
      </c>
      <c r="G27" s="25" t="s">
        <v>82</v>
      </c>
      <c r="H27" s="25" t="n">
        <v>8</v>
      </c>
      <c r="I27" s="27" t="n">
        <v>4.545</v>
      </c>
      <c r="J27" s="28" t="n">
        <v>913435</v>
      </c>
      <c r="K27" s="28" t="n">
        <v>-1229968</v>
      </c>
      <c r="L27" s="25" t="s">
        <v>83</v>
      </c>
    </row>
    <row r="28" customFormat="false" ht="15" hidden="false" customHeight="false" outlineLevel="0" collapsed="false">
      <c r="A28" s="25" t="s">
        <v>19</v>
      </c>
      <c r="B28" s="29" t="s">
        <v>84</v>
      </c>
      <c r="C28" s="25" t="s">
        <v>85</v>
      </c>
      <c r="D28" s="25" t="s">
        <v>110</v>
      </c>
      <c r="E28" s="25" t="s">
        <v>87</v>
      </c>
      <c r="F28" s="25" t="n">
        <v>114</v>
      </c>
      <c r="G28" s="25" t="s">
        <v>82</v>
      </c>
      <c r="H28" s="25" t="n">
        <v>1</v>
      </c>
      <c r="I28" s="27" t="n">
        <v>0.2</v>
      </c>
      <c r="J28" s="28" t="n">
        <v>919521</v>
      </c>
      <c r="K28" s="28" t="n">
        <v>-1232993</v>
      </c>
      <c r="L28" s="25" t="s">
        <v>83</v>
      </c>
    </row>
    <row r="29" customFormat="false" ht="15" hidden="false" customHeight="false" outlineLevel="0" collapsed="false">
      <c r="A29" s="25" t="s">
        <v>19</v>
      </c>
      <c r="B29" s="30" t="s">
        <v>111</v>
      </c>
      <c r="C29" s="25" t="s">
        <v>79</v>
      </c>
      <c r="D29" s="25" t="s">
        <v>112</v>
      </c>
      <c r="E29" s="25" t="s">
        <v>87</v>
      </c>
      <c r="F29" s="25" t="n">
        <v>2</v>
      </c>
      <c r="G29" s="25" t="s">
        <v>82</v>
      </c>
      <c r="H29" s="25" t="n">
        <v>29</v>
      </c>
      <c r="I29" s="27" t="n">
        <v>110.488</v>
      </c>
      <c r="J29" s="28" t="n">
        <v>929106</v>
      </c>
      <c r="K29" s="28" t="n">
        <v>-1197675</v>
      </c>
      <c r="L29" s="25" t="s">
        <v>83</v>
      </c>
    </row>
    <row r="30" customFormat="false" ht="15" hidden="false" customHeight="false" outlineLevel="0" collapsed="false">
      <c r="A30" s="25" t="s">
        <v>22</v>
      </c>
      <c r="B30" s="29" t="s">
        <v>84</v>
      </c>
      <c r="C30" s="25" t="s">
        <v>85</v>
      </c>
      <c r="D30" s="25" t="s">
        <v>113</v>
      </c>
      <c r="E30" s="25" t="s">
        <v>114</v>
      </c>
      <c r="F30" s="25" t="n">
        <v>114</v>
      </c>
      <c r="G30" s="25" t="s">
        <v>82</v>
      </c>
      <c r="H30" s="25" t="n">
        <v>4</v>
      </c>
      <c r="I30" s="27" t="n">
        <v>452.197</v>
      </c>
      <c r="J30" s="28" t="n">
        <v>927710</v>
      </c>
      <c r="K30" s="28" t="n">
        <v>-1402600</v>
      </c>
      <c r="L30" s="25" t="s">
        <v>83</v>
      </c>
    </row>
    <row r="31" customFormat="false" ht="15" hidden="false" customHeight="false" outlineLevel="0" collapsed="false">
      <c r="A31" s="25" t="s">
        <v>22</v>
      </c>
      <c r="B31" s="29" t="s">
        <v>84</v>
      </c>
      <c r="C31" s="25" t="s">
        <v>85</v>
      </c>
      <c r="D31" s="25" t="s">
        <v>115</v>
      </c>
      <c r="E31" s="25" t="s">
        <v>114</v>
      </c>
      <c r="F31" s="25" t="n">
        <v>114</v>
      </c>
      <c r="G31" s="25" t="s">
        <v>82</v>
      </c>
      <c r="H31" s="25" t="n">
        <v>6</v>
      </c>
      <c r="I31" s="27" t="n">
        <v>340.824</v>
      </c>
      <c r="J31" s="28" t="n">
        <v>927704</v>
      </c>
      <c r="K31" s="28" t="n">
        <v>-1402599</v>
      </c>
      <c r="L31" s="25" t="s">
        <v>83</v>
      </c>
    </row>
    <row r="32" customFormat="false" ht="15" hidden="false" customHeight="false" outlineLevel="0" collapsed="false">
      <c r="A32" s="25" t="s">
        <v>22</v>
      </c>
      <c r="B32" s="29" t="s">
        <v>84</v>
      </c>
      <c r="C32" s="25" t="s">
        <v>85</v>
      </c>
      <c r="D32" s="25" t="s">
        <v>116</v>
      </c>
      <c r="E32" s="25" t="s">
        <v>87</v>
      </c>
      <c r="F32" s="25" t="n">
        <v>114</v>
      </c>
      <c r="G32" s="25" t="s">
        <v>117</v>
      </c>
      <c r="H32" s="25" t="n">
        <v>2</v>
      </c>
      <c r="I32" s="27" t="n">
        <v>24.162</v>
      </c>
      <c r="J32" s="28" t="n">
        <v>927592</v>
      </c>
      <c r="K32" s="28" t="n">
        <v>-1384961</v>
      </c>
      <c r="L32" s="25" t="s">
        <v>118</v>
      </c>
    </row>
    <row r="33" customFormat="false" ht="15" hidden="false" customHeight="false" outlineLevel="0" collapsed="false">
      <c r="A33" s="25" t="s">
        <v>22</v>
      </c>
      <c r="B33" s="30" t="s">
        <v>111</v>
      </c>
      <c r="C33" s="25" t="s">
        <v>79</v>
      </c>
      <c r="D33" s="25" t="s">
        <v>119</v>
      </c>
      <c r="E33" s="25" t="s">
        <v>114</v>
      </c>
      <c r="F33" s="25" t="n">
        <v>2</v>
      </c>
      <c r="G33" s="25" t="s">
        <v>82</v>
      </c>
      <c r="H33" s="25" t="n">
        <v>4</v>
      </c>
      <c r="I33" s="27" t="n">
        <v>96.786</v>
      </c>
      <c r="J33" s="28" t="n">
        <v>927704</v>
      </c>
      <c r="K33" s="28" t="n">
        <v>-1402599</v>
      </c>
      <c r="L33" s="25" t="s">
        <v>83</v>
      </c>
    </row>
    <row r="34" customFormat="false" ht="15" hidden="false" customHeight="false" outlineLevel="0" collapsed="false">
      <c r="A34" s="25" t="s">
        <v>25</v>
      </c>
      <c r="B34" s="29" t="s">
        <v>84</v>
      </c>
      <c r="C34" s="25" t="s">
        <v>85</v>
      </c>
      <c r="D34" s="25" t="s">
        <v>120</v>
      </c>
      <c r="E34" s="25" t="s">
        <v>87</v>
      </c>
      <c r="F34" s="25" t="n">
        <v>114</v>
      </c>
      <c r="G34" s="25" t="s">
        <v>82</v>
      </c>
      <c r="H34" s="25" t="n">
        <v>16</v>
      </c>
      <c r="I34" s="27" t="n">
        <v>109.438</v>
      </c>
      <c r="J34" s="28" t="n">
        <v>1253770</v>
      </c>
      <c r="K34" s="28" t="n">
        <v>-598125</v>
      </c>
      <c r="L34" s="25" t="s">
        <v>83</v>
      </c>
    </row>
    <row r="35" customFormat="false" ht="15" hidden="false" customHeight="false" outlineLevel="0" collapsed="false">
      <c r="A35" s="25" t="s">
        <v>25</v>
      </c>
      <c r="B35" s="29" t="s">
        <v>84</v>
      </c>
      <c r="C35" s="25" t="s">
        <v>85</v>
      </c>
      <c r="D35" s="25" t="s">
        <v>121</v>
      </c>
      <c r="E35" s="25" t="s">
        <v>87</v>
      </c>
      <c r="F35" s="25" t="n">
        <v>114</v>
      </c>
      <c r="G35" s="25" t="s">
        <v>82</v>
      </c>
      <c r="H35" s="25" t="n">
        <v>10</v>
      </c>
      <c r="I35" s="27" t="n">
        <v>87.734</v>
      </c>
      <c r="J35" s="28" t="n">
        <v>1221656</v>
      </c>
      <c r="K35" s="28" t="n">
        <v>-601928</v>
      </c>
      <c r="L35" s="25" t="s">
        <v>83</v>
      </c>
    </row>
    <row r="36" customFormat="false" ht="15" hidden="false" customHeight="false" outlineLevel="0" collapsed="false">
      <c r="A36" s="25" t="s">
        <v>25</v>
      </c>
      <c r="B36" s="29" t="s">
        <v>84</v>
      </c>
      <c r="C36" s="25" t="s">
        <v>85</v>
      </c>
      <c r="D36" s="25" t="s">
        <v>122</v>
      </c>
      <c r="E36" s="25" t="s">
        <v>87</v>
      </c>
      <c r="F36" s="25" t="n">
        <v>114</v>
      </c>
      <c r="G36" s="25" t="s">
        <v>82</v>
      </c>
      <c r="H36" s="25" t="n">
        <v>10</v>
      </c>
      <c r="I36" s="27" t="n">
        <v>68.401</v>
      </c>
      <c r="J36" s="28" t="n">
        <v>1227018</v>
      </c>
      <c r="K36" s="28" t="n">
        <v>-628868</v>
      </c>
      <c r="L36" s="25" t="s">
        <v>83</v>
      </c>
    </row>
    <row r="37" customFormat="false" ht="15" hidden="false" customHeight="false" outlineLevel="0" collapsed="false">
      <c r="A37" s="25" t="s">
        <v>25</v>
      </c>
      <c r="B37" s="29" t="s">
        <v>84</v>
      </c>
      <c r="C37" s="25" t="s">
        <v>85</v>
      </c>
      <c r="D37" s="25" t="s">
        <v>123</v>
      </c>
      <c r="E37" s="25" t="s">
        <v>87</v>
      </c>
      <c r="F37" s="25" t="n">
        <v>114</v>
      </c>
      <c r="G37" s="25" t="s">
        <v>82</v>
      </c>
      <c r="H37" s="25" t="n">
        <v>10</v>
      </c>
      <c r="I37" s="27" t="n">
        <v>68.4</v>
      </c>
      <c r="J37" s="28" t="n">
        <v>1253339</v>
      </c>
      <c r="K37" s="28" t="n">
        <v>-628868</v>
      </c>
      <c r="L37" s="25" t="s">
        <v>83</v>
      </c>
    </row>
    <row r="38" customFormat="false" ht="15" hidden="false" customHeight="false" outlineLevel="0" collapsed="false">
      <c r="A38" s="25" t="s">
        <v>25</v>
      </c>
      <c r="B38" s="29" t="s">
        <v>84</v>
      </c>
      <c r="C38" s="25" t="s">
        <v>85</v>
      </c>
      <c r="D38" s="25" t="s">
        <v>124</v>
      </c>
      <c r="E38" s="25" t="s">
        <v>125</v>
      </c>
      <c r="F38" s="25" t="n">
        <v>114</v>
      </c>
      <c r="G38" s="25" t="s">
        <v>82</v>
      </c>
      <c r="H38" s="25" t="n">
        <v>4</v>
      </c>
      <c r="I38" s="27" t="n">
        <v>36.611</v>
      </c>
      <c r="J38" s="28" t="n">
        <v>1240178</v>
      </c>
      <c r="K38" s="28" t="n">
        <v>-636182</v>
      </c>
      <c r="L38" s="25" t="s">
        <v>83</v>
      </c>
    </row>
    <row r="39" customFormat="false" ht="15" hidden="false" customHeight="false" outlineLevel="0" collapsed="false">
      <c r="A39" s="25" t="s">
        <v>25</v>
      </c>
      <c r="B39" s="29" t="s">
        <v>84</v>
      </c>
      <c r="C39" s="25" t="s">
        <v>85</v>
      </c>
      <c r="D39" s="25" t="s">
        <v>126</v>
      </c>
      <c r="E39" s="25" t="s">
        <v>125</v>
      </c>
      <c r="F39" s="25" t="n">
        <v>114</v>
      </c>
      <c r="G39" s="25" t="s">
        <v>82</v>
      </c>
      <c r="H39" s="25" t="n">
        <v>3</v>
      </c>
      <c r="I39" s="27" t="n">
        <v>27.458</v>
      </c>
      <c r="J39" s="28" t="n">
        <v>1220371</v>
      </c>
      <c r="K39" s="28" t="n">
        <v>-626915</v>
      </c>
      <c r="L39" s="25" t="s">
        <v>83</v>
      </c>
    </row>
    <row r="40" customFormat="false" ht="15" hidden="false" customHeight="false" outlineLevel="0" collapsed="false">
      <c r="A40" s="25" t="s">
        <v>25</v>
      </c>
      <c r="B40" s="29" t="s">
        <v>84</v>
      </c>
      <c r="C40" s="25" t="s">
        <v>85</v>
      </c>
      <c r="D40" s="25" t="s">
        <v>127</v>
      </c>
      <c r="E40" s="25" t="s">
        <v>125</v>
      </c>
      <c r="F40" s="25" t="n">
        <v>114</v>
      </c>
      <c r="G40" s="25" t="s">
        <v>82</v>
      </c>
      <c r="H40" s="25" t="n">
        <v>3</v>
      </c>
      <c r="I40" s="27" t="n">
        <v>27.458</v>
      </c>
      <c r="J40" s="28" t="n">
        <v>1259986</v>
      </c>
      <c r="K40" s="28" t="n">
        <v>-626915</v>
      </c>
      <c r="L40" s="25" t="s">
        <v>83</v>
      </c>
    </row>
    <row r="41" customFormat="false" ht="15" hidden="false" customHeight="false" outlineLevel="0" collapsed="false">
      <c r="A41" s="25" t="s">
        <v>25</v>
      </c>
      <c r="B41" s="29" t="s">
        <v>84</v>
      </c>
      <c r="C41" s="25" t="s">
        <v>85</v>
      </c>
      <c r="D41" s="25" t="s">
        <v>128</v>
      </c>
      <c r="E41" s="25" t="s">
        <v>125</v>
      </c>
      <c r="F41" s="25" t="n">
        <v>114</v>
      </c>
      <c r="G41" s="25" t="s">
        <v>82</v>
      </c>
      <c r="H41" s="25" t="n">
        <v>2</v>
      </c>
      <c r="I41" s="27" t="n">
        <v>18.305</v>
      </c>
      <c r="J41" s="28" t="n">
        <v>1215713</v>
      </c>
      <c r="K41" s="28" t="n">
        <v>-605161</v>
      </c>
      <c r="L41" s="25" t="s">
        <v>83</v>
      </c>
    </row>
    <row r="42" customFormat="false" ht="15" hidden="false" customHeight="false" outlineLevel="0" collapsed="false">
      <c r="A42" s="25" t="s">
        <v>25</v>
      </c>
      <c r="B42" s="29" t="s">
        <v>84</v>
      </c>
      <c r="C42" s="25" t="s">
        <v>85</v>
      </c>
      <c r="D42" s="25" t="s">
        <v>129</v>
      </c>
      <c r="E42" s="25" t="s">
        <v>87</v>
      </c>
      <c r="F42" s="25" t="n">
        <v>114</v>
      </c>
      <c r="G42" s="25" t="s">
        <v>82</v>
      </c>
      <c r="H42" s="25" t="n">
        <v>2</v>
      </c>
      <c r="I42" s="27" t="n">
        <v>18.305</v>
      </c>
      <c r="J42" s="28" t="n">
        <v>1262113</v>
      </c>
      <c r="K42" s="28" t="n">
        <v>-599053</v>
      </c>
      <c r="L42" s="25" t="s">
        <v>83</v>
      </c>
    </row>
    <row r="43" customFormat="false" ht="15" hidden="false" customHeight="false" outlineLevel="0" collapsed="false">
      <c r="A43" s="25" t="s">
        <v>25</v>
      </c>
      <c r="B43" s="29" t="s">
        <v>84</v>
      </c>
      <c r="C43" s="25" t="s">
        <v>85</v>
      </c>
      <c r="D43" s="25" t="s">
        <v>130</v>
      </c>
      <c r="E43" s="25" t="s">
        <v>87</v>
      </c>
      <c r="F43" s="25" t="n">
        <v>114</v>
      </c>
      <c r="G43" s="25" t="s">
        <v>82</v>
      </c>
      <c r="H43" s="25" t="n">
        <v>2</v>
      </c>
      <c r="I43" s="27" t="n">
        <v>18.305</v>
      </c>
      <c r="J43" s="28" t="n">
        <v>1265507</v>
      </c>
      <c r="K43" s="28" t="n">
        <v>-611717</v>
      </c>
      <c r="L43" s="25" t="s">
        <v>83</v>
      </c>
    </row>
    <row r="44" customFormat="false" ht="15" hidden="false" customHeight="false" outlineLevel="0" collapsed="false">
      <c r="A44" s="25" t="s">
        <v>25</v>
      </c>
      <c r="B44" s="29" t="s">
        <v>84</v>
      </c>
      <c r="C44" s="25" t="s">
        <v>85</v>
      </c>
      <c r="D44" s="25" t="s">
        <v>131</v>
      </c>
      <c r="E44" s="25" t="s">
        <v>87</v>
      </c>
      <c r="F44" s="25" t="n">
        <v>114</v>
      </c>
      <c r="G44" s="25" t="s">
        <v>82</v>
      </c>
      <c r="H44" s="25" t="n">
        <v>1</v>
      </c>
      <c r="I44" s="27" t="n">
        <v>9.153</v>
      </c>
      <c r="J44" s="28" t="n">
        <v>1243513</v>
      </c>
      <c r="K44" s="28" t="n">
        <v>-586388</v>
      </c>
      <c r="L44" s="25" t="s">
        <v>83</v>
      </c>
    </row>
    <row r="45" customFormat="false" ht="15" hidden="false" customHeight="false" outlineLevel="0" collapsed="false">
      <c r="A45" s="25" t="s">
        <v>25</v>
      </c>
      <c r="B45" s="29" t="s">
        <v>84</v>
      </c>
      <c r="C45" s="25" t="s">
        <v>85</v>
      </c>
      <c r="D45" s="25" t="s">
        <v>132</v>
      </c>
      <c r="E45" s="25" t="s">
        <v>87</v>
      </c>
      <c r="F45" s="25" t="n">
        <v>114</v>
      </c>
      <c r="G45" s="25" t="s">
        <v>82</v>
      </c>
      <c r="H45" s="25" t="n">
        <v>1</v>
      </c>
      <c r="I45" s="27" t="n">
        <v>9.153</v>
      </c>
      <c r="J45" s="28" t="n">
        <v>1230402</v>
      </c>
      <c r="K45" s="28" t="n">
        <v>-588114</v>
      </c>
      <c r="L45" s="25" t="s">
        <v>83</v>
      </c>
    </row>
    <row r="46" customFormat="false" ht="15" hidden="false" customHeight="false" outlineLevel="0" collapsed="false">
      <c r="A46" s="25" t="s">
        <v>25</v>
      </c>
      <c r="B46" s="29" t="s">
        <v>84</v>
      </c>
      <c r="C46" s="25" t="s">
        <v>85</v>
      </c>
      <c r="D46" s="25" t="s">
        <v>133</v>
      </c>
      <c r="E46" s="25" t="s">
        <v>125</v>
      </c>
      <c r="F46" s="25" t="n">
        <v>114</v>
      </c>
      <c r="G46" s="25" t="s">
        <v>82</v>
      </c>
      <c r="H46" s="25" t="n">
        <v>1</v>
      </c>
      <c r="I46" s="27" t="n">
        <v>9.153</v>
      </c>
      <c r="J46" s="28" t="n">
        <v>1224626</v>
      </c>
      <c r="K46" s="28" t="n">
        <v>-591449</v>
      </c>
      <c r="L46" s="25" t="s">
        <v>83</v>
      </c>
    </row>
    <row r="47" customFormat="false" ht="15" hidden="false" customHeight="false" outlineLevel="0" collapsed="false">
      <c r="A47" s="25" t="s">
        <v>25</v>
      </c>
      <c r="B47" s="29" t="s">
        <v>84</v>
      </c>
      <c r="C47" s="25" t="s">
        <v>85</v>
      </c>
      <c r="D47" s="25" t="s">
        <v>134</v>
      </c>
      <c r="E47" s="25" t="s">
        <v>125</v>
      </c>
      <c r="F47" s="25" t="n">
        <v>114</v>
      </c>
      <c r="G47" s="25" t="s">
        <v>82</v>
      </c>
      <c r="H47" s="25" t="n">
        <v>1</v>
      </c>
      <c r="I47" s="27" t="n">
        <v>9.153</v>
      </c>
      <c r="J47" s="28" t="n">
        <v>1219910</v>
      </c>
      <c r="K47" s="28" t="n">
        <v>-596165</v>
      </c>
      <c r="L47" s="25" t="s">
        <v>83</v>
      </c>
    </row>
    <row r="48" customFormat="false" ht="15" hidden="false" customHeight="false" outlineLevel="0" collapsed="false">
      <c r="A48" s="25" t="s">
        <v>25</v>
      </c>
      <c r="B48" s="29" t="s">
        <v>84</v>
      </c>
      <c r="C48" s="25" t="s">
        <v>85</v>
      </c>
      <c r="D48" s="25" t="s">
        <v>135</v>
      </c>
      <c r="E48" s="25" t="s">
        <v>87</v>
      </c>
      <c r="F48" s="25" t="n">
        <v>114</v>
      </c>
      <c r="G48" s="25" t="s">
        <v>82</v>
      </c>
      <c r="H48" s="25" t="n">
        <v>1</v>
      </c>
      <c r="I48" s="27" t="n">
        <v>9.153</v>
      </c>
      <c r="J48" s="28" t="n">
        <v>1255730</v>
      </c>
      <c r="K48" s="28" t="n">
        <v>-591449</v>
      </c>
      <c r="L48" s="25" t="s">
        <v>83</v>
      </c>
    </row>
    <row r="49" customFormat="false" ht="15" hidden="false" customHeight="false" outlineLevel="0" collapsed="false">
      <c r="A49" s="25" t="s">
        <v>25</v>
      </c>
      <c r="B49" s="29" t="s">
        <v>84</v>
      </c>
      <c r="C49" s="25" t="s">
        <v>85</v>
      </c>
      <c r="D49" s="25" t="s">
        <v>136</v>
      </c>
      <c r="E49" s="25" t="s">
        <v>125</v>
      </c>
      <c r="F49" s="25" t="n">
        <v>114</v>
      </c>
      <c r="G49" s="25" t="s">
        <v>82</v>
      </c>
      <c r="H49" s="25" t="n">
        <v>2</v>
      </c>
      <c r="I49" s="27" t="n">
        <v>9.153</v>
      </c>
      <c r="J49" s="28" t="n">
        <v>1214850</v>
      </c>
      <c r="K49" s="28" t="n">
        <v>-615051</v>
      </c>
      <c r="L49" s="25" t="s">
        <v>83</v>
      </c>
    </row>
    <row r="50" customFormat="false" ht="15" hidden="false" customHeight="false" outlineLevel="0" collapsed="false">
      <c r="A50" s="25" t="s">
        <v>25</v>
      </c>
      <c r="B50" s="29" t="s">
        <v>84</v>
      </c>
      <c r="C50" s="25" t="s">
        <v>85</v>
      </c>
      <c r="D50" s="25" t="s">
        <v>137</v>
      </c>
      <c r="E50" s="25" t="s">
        <v>87</v>
      </c>
      <c r="F50" s="25" t="n">
        <v>114</v>
      </c>
      <c r="G50" s="25" t="s">
        <v>117</v>
      </c>
      <c r="H50" s="25" t="n">
        <v>1</v>
      </c>
      <c r="I50" s="27" t="n">
        <v>2.365</v>
      </c>
      <c r="J50" s="28" t="n">
        <v>1247862</v>
      </c>
      <c r="K50" s="28" t="n">
        <v>-587290</v>
      </c>
      <c r="L50" s="25" t="s">
        <v>83</v>
      </c>
    </row>
    <row r="51" customFormat="false" ht="15" hidden="false" customHeight="false" outlineLevel="0" collapsed="false">
      <c r="A51" s="25" t="s">
        <v>25</v>
      </c>
      <c r="B51" s="29" t="s">
        <v>84</v>
      </c>
      <c r="C51" s="25" t="s">
        <v>85</v>
      </c>
      <c r="D51" s="25" t="s">
        <v>138</v>
      </c>
      <c r="E51" s="25" t="s">
        <v>87</v>
      </c>
      <c r="F51" s="25" t="n">
        <v>114</v>
      </c>
      <c r="G51" s="25" t="s">
        <v>117</v>
      </c>
      <c r="H51" s="25" t="n">
        <v>1</v>
      </c>
      <c r="I51" s="27" t="n">
        <v>2.316</v>
      </c>
      <c r="J51" s="28" t="n">
        <v>1249202</v>
      </c>
      <c r="K51" s="28" t="n">
        <v>-587755</v>
      </c>
      <c r="L51" s="25" t="s">
        <v>83</v>
      </c>
    </row>
    <row r="52" customFormat="false" ht="15" hidden="false" customHeight="false" outlineLevel="0" collapsed="false">
      <c r="A52" s="25" t="s">
        <v>25</v>
      </c>
      <c r="B52" s="29" t="s">
        <v>84</v>
      </c>
      <c r="C52" s="25" t="s">
        <v>85</v>
      </c>
      <c r="D52" s="25" t="s">
        <v>139</v>
      </c>
      <c r="E52" s="25" t="s">
        <v>87</v>
      </c>
      <c r="F52" s="25" t="n">
        <v>114</v>
      </c>
      <c r="G52" s="25" t="s">
        <v>117</v>
      </c>
      <c r="H52" s="25" t="n">
        <v>1</v>
      </c>
      <c r="I52" s="27" t="n">
        <v>2.116</v>
      </c>
      <c r="J52" s="28" t="n">
        <v>1252088</v>
      </c>
      <c r="K52" s="28" t="n">
        <v>-589062</v>
      </c>
      <c r="L52" s="25" t="s">
        <v>83</v>
      </c>
    </row>
    <row r="53" customFormat="false" ht="15" hidden="false" customHeight="false" outlineLevel="0" collapsed="false">
      <c r="A53" s="25" t="s">
        <v>25</v>
      </c>
      <c r="B53" s="29" t="s">
        <v>84</v>
      </c>
      <c r="C53" s="25" t="s">
        <v>85</v>
      </c>
      <c r="D53" s="25" t="s">
        <v>140</v>
      </c>
      <c r="E53" s="25" t="s">
        <v>87</v>
      </c>
      <c r="F53" s="25" t="n">
        <v>114</v>
      </c>
      <c r="G53" s="25" t="s">
        <v>117</v>
      </c>
      <c r="H53" s="25" t="n">
        <v>1</v>
      </c>
      <c r="I53" s="27" t="n">
        <v>1.969</v>
      </c>
      <c r="J53" s="28" t="n">
        <v>1251371</v>
      </c>
      <c r="K53" s="28" t="n">
        <v>-588662</v>
      </c>
      <c r="L53" s="25" t="s">
        <v>83</v>
      </c>
    </row>
    <row r="54" customFormat="false" ht="15" hidden="false" customHeight="false" outlineLevel="0" collapsed="false">
      <c r="A54" s="25" t="s">
        <v>25</v>
      </c>
      <c r="B54" s="29" t="s">
        <v>84</v>
      </c>
      <c r="C54" s="25" t="s">
        <v>85</v>
      </c>
      <c r="D54" s="25" t="s">
        <v>141</v>
      </c>
      <c r="E54" s="25" t="s">
        <v>87</v>
      </c>
      <c r="F54" s="25" t="n">
        <v>114</v>
      </c>
      <c r="G54" s="25" t="s">
        <v>117</v>
      </c>
      <c r="H54" s="25" t="n">
        <v>1</v>
      </c>
      <c r="I54" s="27" t="n">
        <v>1.483</v>
      </c>
      <c r="J54" s="28" t="n">
        <v>1250290</v>
      </c>
      <c r="K54" s="28" t="n">
        <v>-588254</v>
      </c>
      <c r="L54" s="25" t="s">
        <v>83</v>
      </c>
    </row>
    <row r="55" customFormat="false" ht="15" hidden="false" customHeight="false" outlineLevel="0" collapsed="false">
      <c r="A55" s="25" t="s">
        <v>25</v>
      </c>
      <c r="B55" s="29" t="s">
        <v>84</v>
      </c>
      <c r="C55" s="25" t="s">
        <v>85</v>
      </c>
      <c r="D55" s="25" t="s">
        <v>142</v>
      </c>
      <c r="E55" s="25" t="s">
        <v>87</v>
      </c>
      <c r="F55" s="25" t="n">
        <v>114</v>
      </c>
      <c r="G55" s="25" t="s">
        <v>117</v>
      </c>
      <c r="H55" s="25" t="n">
        <v>1</v>
      </c>
      <c r="I55" s="27" t="n">
        <v>1.063</v>
      </c>
      <c r="J55" s="28" t="n">
        <v>1239103</v>
      </c>
      <c r="K55" s="28" t="n">
        <v>-585788</v>
      </c>
      <c r="L55" s="25" t="s">
        <v>83</v>
      </c>
    </row>
    <row r="56" customFormat="false" ht="15" hidden="false" customHeight="false" outlineLevel="0" collapsed="false">
      <c r="A56" s="25" t="s">
        <v>25</v>
      </c>
      <c r="B56" s="29" t="s">
        <v>84</v>
      </c>
      <c r="C56" s="25" t="s">
        <v>85</v>
      </c>
      <c r="D56" s="25" t="s">
        <v>143</v>
      </c>
      <c r="E56" s="25" t="s">
        <v>87</v>
      </c>
      <c r="F56" s="25" t="n">
        <v>114</v>
      </c>
      <c r="G56" s="25" t="s">
        <v>117</v>
      </c>
      <c r="H56" s="25" t="n">
        <v>1</v>
      </c>
      <c r="I56" s="27" t="n">
        <v>0.786</v>
      </c>
      <c r="J56" s="28" t="n">
        <v>1236004</v>
      </c>
      <c r="K56" s="28" t="n">
        <v>-586968</v>
      </c>
      <c r="L56" s="25" t="s">
        <v>83</v>
      </c>
    </row>
    <row r="57" customFormat="false" ht="15" hidden="false" customHeight="false" outlineLevel="0" collapsed="false">
      <c r="A57" s="25" t="s">
        <v>25</v>
      </c>
      <c r="B57" s="29" t="s">
        <v>84</v>
      </c>
      <c r="C57" s="25" t="s">
        <v>85</v>
      </c>
      <c r="D57" s="25" t="s">
        <v>144</v>
      </c>
      <c r="E57" s="25" t="s">
        <v>87</v>
      </c>
      <c r="F57" s="25" t="n">
        <v>114</v>
      </c>
      <c r="G57" s="25" t="s">
        <v>117</v>
      </c>
      <c r="H57" s="25" t="n">
        <v>1</v>
      </c>
      <c r="I57" s="27" t="n">
        <v>0.738</v>
      </c>
      <c r="J57" s="28" t="n">
        <v>1236735</v>
      </c>
      <c r="K57" s="28" t="n">
        <v>-586821</v>
      </c>
      <c r="L57" s="25" t="s">
        <v>83</v>
      </c>
    </row>
    <row r="58" customFormat="false" ht="15" hidden="false" customHeight="false" outlineLevel="0" collapsed="false">
      <c r="A58" s="25" t="s">
        <v>25</v>
      </c>
      <c r="B58" s="29" t="s">
        <v>84</v>
      </c>
      <c r="C58" s="25" t="s">
        <v>85</v>
      </c>
      <c r="D58" s="25" t="s">
        <v>145</v>
      </c>
      <c r="E58" s="25" t="s">
        <v>87</v>
      </c>
      <c r="F58" s="25" t="n">
        <v>114</v>
      </c>
      <c r="G58" s="25" t="s">
        <v>117</v>
      </c>
      <c r="H58" s="25" t="n">
        <v>1</v>
      </c>
      <c r="I58" s="27" t="n">
        <v>0.73</v>
      </c>
      <c r="J58" s="28" t="n">
        <v>1235075</v>
      </c>
      <c r="K58" s="28" t="n">
        <v>-586145</v>
      </c>
      <c r="L58" s="25" t="s">
        <v>83</v>
      </c>
    </row>
    <row r="59" customFormat="false" ht="15" hidden="false" customHeight="false" outlineLevel="0" collapsed="false">
      <c r="A59" s="25" t="s">
        <v>25</v>
      </c>
      <c r="B59" s="29" t="s">
        <v>84</v>
      </c>
      <c r="C59" s="25" t="s">
        <v>85</v>
      </c>
      <c r="D59" s="25" t="s">
        <v>146</v>
      </c>
      <c r="E59" s="25" t="s">
        <v>87</v>
      </c>
      <c r="F59" s="25" t="n">
        <v>114</v>
      </c>
      <c r="G59" s="25" t="s">
        <v>117</v>
      </c>
      <c r="H59" s="25" t="n">
        <v>1</v>
      </c>
      <c r="I59" s="27" t="n">
        <v>0.721</v>
      </c>
      <c r="J59" s="28" t="n">
        <v>1238540</v>
      </c>
      <c r="K59" s="28" t="n">
        <v>-585698</v>
      </c>
      <c r="L59" s="25" t="s">
        <v>83</v>
      </c>
    </row>
    <row r="60" customFormat="false" ht="15" hidden="false" customHeight="false" outlineLevel="0" collapsed="false">
      <c r="A60" s="25" t="s">
        <v>25</v>
      </c>
      <c r="B60" s="29" t="s">
        <v>84</v>
      </c>
      <c r="C60" s="25" t="s">
        <v>85</v>
      </c>
      <c r="D60" s="25" t="s">
        <v>147</v>
      </c>
      <c r="E60" s="25" t="s">
        <v>87</v>
      </c>
      <c r="F60" s="25" t="n">
        <v>114</v>
      </c>
      <c r="G60" s="25" t="s">
        <v>117</v>
      </c>
      <c r="H60" s="25" t="n">
        <v>1</v>
      </c>
      <c r="I60" s="27" t="n">
        <v>0.704</v>
      </c>
      <c r="J60" s="28" t="n">
        <v>1237115</v>
      </c>
      <c r="K60" s="28" t="n">
        <v>-585840</v>
      </c>
      <c r="L60" s="25" t="s">
        <v>83</v>
      </c>
    </row>
    <row r="61" customFormat="false" ht="15" hidden="false" customHeight="false" outlineLevel="0" collapsed="false">
      <c r="A61" s="25" t="s">
        <v>25</v>
      </c>
      <c r="B61" s="29" t="s">
        <v>84</v>
      </c>
      <c r="C61" s="25" t="s">
        <v>85</v>
      </c>
      <c r="D61" s="25" t="s">
        <v>148</v>
      </c>
      <c r="E61" s="25" t="s">
        <v>87</v>
      </c>
      <c r="F61" s="25" t="n">
        <v>114</v>
      </c>
      <c r="G61" s="25" t="s">
        <v>117</v>
      </c>
      <c r="H61" s="25" t="n">
        <v>1</v>
      </c>
      <c r="I61" s="27" t="n">
        <v>0.701</v>
      </c>
      <c r="J61" s="28" t="n">
        <v>1238481</v>
      </c>
      <c r="K61" s="28" t="n">
        <v>-585842</v>
      </c>
      <c r="L61" s="25" t="s">
        <v>83</v>
      </c>
    </row>
    <row r="62" customFormat="false" ht="15" hidden="false" customHeight="false" outlineLevel="0" collapsed="false">
      <c r="A62" s="25" t="s">
        <v>25</v>
      </c>
      <c r="B62" s="29" t="s">
        <v>84</v>
      </c>
      <c r="C62" s="25" t="s">
        <v>85</v>
      </c>
      <c r="D62" s="25" t="s">
        <v>149</v>
      </c>
      <c r="E62" s="25" t="s">
        <v>87</v>
      </c>
      <c r="F62" s="25" t="n">
        <v>114</v>
      </c>
      <c r="G62" s="25" t="s">
        <v>117</v>
      </c>
      <c r="H62" s="25" t="n">
        <v>1</v>
      </c>
      <c r="I62" s="27" t="n">
        <v>0.701</v>
      </c>
      <c r="J62" s="28" t="n">
        <v>1235783</v>
      </c>
      <c r="K62" s="28" t="n">
        <v>-586599</v>
      </c>
      <c r="L62" s="25" t="s">
        <v>83</v>
      </c>
    </row>
    <row r="63" customFormat="false" ht="15" hidden="false" customHeight="false" outlineLevel="0" collapsed="false">
      <c r="A63" s="25" t="s">
        <v>25</v>
      </c>
      <c r="B63" s="29" t="s">
        <v>84</v>
      </c>
      <c r="C63" s="25" t="s">
        <v>85</v>
      </c>
      <c r="D63" s="25" t="s">
        <v>150</v>
      </c>
      <c r="E63" s="25" t="s">
        <v>87</v>
      </c>
      <c r="F63" s="25" t="n">
        <v>114</v>
      </c>
      <c r="G63" s="25" t="s">
        <v>117</v>
      </c>
      <c r="H63" s="25" t="n">
        <v>1</v>
      </c>
      <c r="I63" s="27" t="n">
        <v>0.701</v>
      </c>
      <c r="J63" s="28" t="n">
        <v>1234541</v>
      </c>
      <c r="K63" s="28" t="n">
        <v>-586455</v>
      </c>
      <c r="L63" s="25" t="s">
        <v>83</v>
      </c>
    </row>
    <row r="64" customFormat="false" ht="15" hidden="false" customHeight="false" outlineLevel="0" collapsed="false">
      <c r="A64" s="25" t="s">
        <v>25</v>
      </c>
      <c r="B64" s="29" t="s">
        <v>84</v>
      </c>
      <c r="C64" s="25" t="s">
        <v>85</v>
      </c>
      <c r="D64" s="25" t="s">
        <v>151</v>
      </c>
      <c r="E64" s="25" t="s">
        <v>87</v>
      </c>
      <c r="F64" s="25" t="n">
        <v>114</v>
      </c>
      <c r="G64" s="25" t="s">
        <v>117</v>
      </c>
      <c r="H64" s="25" t="n">
        <v>1</v>
      </c>
      <c r="I64" s="27" t="n">
        <v>0.701</v>
      </c>
      <c r="J64" s="28" t="n">
        <v>1236006</v>
      </c>
      <c r="K64" s="28" t="n">
        <v>-586124</v>
      </c>
      <c r="L64" s="25" t="s">
        <v>83</v>
      </c>
    </row>
    <row r="65" customFormat="false" ht="15" hidden="false" customHeight="false" outlineLevel="0" collapsed="false">
      <c r="A65" s="25" t="s">
        <v>25</v>
      </c>
      <c r="B65" s="29" t="s">
        <v>84</v>
      </c>
      <c r="C65" s="25" t="s">
        <v>85</v>
      </c>
      <c r="D65" s="25" t="s">
        <v>152</v>
      </c>
      <c r="E65" s="25" t="s">
        <v>87</v>
      </c>
      <c r="F65" s="25" t="n">
        <v>114</v>
      </c>
      <c r="G65" s="25" t="s">
        <v>117</v>
      </c>
      <c r="H65" s="25" t="n">
        <v>1</v>
      </c>
      <c r="I65" s="27" t="n">
        <v>0.701</v>
      </c>
      <c r="J65" s="28" t="n">
        <v>1234640</v>
      </c>
      <c r="K65" s="28" t="n">
        <v>-587232</v>
      </c>
      <c r="L65" s="25" t="s">
        <v>83</v>
      </c>
    </row>
    <row r="66" customFormat="false" ht="15" hidden="false" customHeight="false" outlineLevel="0" collapsed="false">
      <c r="A66" s="25" t="s">
        <v>25</v>
      </c>
      <c r="B66" s="29" t="s">
        <v>84</v>
      </c>
      <c r="C66" s="25" t="s">
        <v>85</v>
      </c>
      <c r="D66" s="25" t="s">
        <v>153</v>
      </c>
      <c r="E66" s="25" t="s">
        <v>87</v>
      </c>
      <c r="F66" s="25" t="n">
        <v>114</v>
      </c>
      <c r="G66" s="25" t="s">
        <v>117</v>
      </c>
      <c r="H66" s="25" t="n">
        <v>1</v>
      </c>
      <c r="I66" s="27" t="n">
        <v>0.701</v>
      </c>
      <c r="J66" s="28" t="n">
        <v>1234511</v>
      </c>
      <c r="K66" s="28" t="n">
        <v>-586727</v>
      </c>
      <c r="L66" s="25" t="s">
        <v>83</v>
      </c>
    </row>
    <row r="67" customFormat="false" ht="15" hidden="false" customHeight="false" outlineLevel="0" collapsed="false">
      <c r="A67" s="25" t="s">
        <v>25</v>
      </c>
      <c r="B67" s="29" t="s">
        <v>84</v>
      </c>
      <c r="C67" s="25" t="s">
        <v>85</v>
      </c>
      <c r="D67" s="25" t="s">
        <v>154</v>
      </c>
      <c r="E67" s="25" t="s">
        <v>87</v>
      </c>
      <c r="F67" s="25" t="n">
        <v>114</v>
      </c>
      <c r="G67" s="25" t="s">
        <v>117</v>
      </c>
      <c r="H67" s="25" t="n">
        <v>1</v>
      </c>
      <c r="I67" s="27" t="n">
        <v>0.701</v>
      </c>
      <c r="J67" s="28" t="n">
        <v>1234373</v>
      </c>
      <c r="K67" s="28" t="n">
        <v>-586292</v>
      </c>
      <c r="L67" s="25" t="s">
        <v>83</v>
      </c>
    </row>
    <row r="68" customFormat="false" ht="15" hidden="false" customHeight="false" outlineLevel="0" collapsed="false">
      <c r="A68" s="25" t="s">
        <v>25</v>
      </c>
      <c r="B68" s="29" t="s">
        <v>84</v>
      </c>
      <c r="C68" s="25" t="s">
        <v>85</v>
      </c>
      <c r="D68" s="25" t="s">
        <v>155</v>
      </c>
      <c r="E68" s="25" t="s">
        <v>87</v>
      </c>
      <c r="F68" s="25" t="n">
        <v>114</v>
      </c>
      <c r="G68" s="25" t="s">
        <v>117</v>
      </c>
      <c r="H68" s="25" t="n">
        <v>1</v>
      </c>
      <c r="I68" s="27" t="n">
        <v>0.701</v>
      </c>
      <c r="J68" s="28" t="n">
        <v>1234442</v>
      </c>
      <c r="K68" s="28" t="n">
        <v>-586515</v>
      </c>
      <c r="L68" s="25" t="s">
        <v>83</v>
      </c>
    </row>
    <row r="69" customFormat="false" ht="15" hidden="false" customHeight="false" outlineLevel="0" collapsed="false">
      <c r="A69" s="25" t="s">
        <v>25</v>
      </c>
      <c r="B69" s="29" t="s">
        <v>84</v>
      </c>
      <c r="C69" s="25" t="s">
        <v>85</v>
      </c>
      <c r="D69" s="25" t="s">
        <v>156</v>
      </c>
      <c r="E69" s="25" t="s">
        <v>87</v>
      </c>
      <c r="F69" s="25" t="n">
        <v>114</v>
      </c>
      <c r="G69" s="25" t="s">
        <v>117</v>
      </c>
      <c r="H69" s="25" t="n">
        <v>1</v>
      </c>
      <c r="I69" s="27" t="n">
        <v>0.701</v>
      </c>
      <c r="J69" s="28" t="n">
        <v>1237073</v>
      </c>
      <c r="K69" s="28" t="n">
        <v>-586322</v>
      </c>
      <c r="L69" s="25" t="s">
        <v>83</v>
      </c>
    </row>
    <row r="70" customFormat="false" ht="15" hidden="false" customHeight="false" outlineLevel="0" collapsed="false">
      <c r="A70" s="25" t="s">
        <v>25</v>
      </c>
      <c r="B70" s="29" t="s">
        <v>84</v>
      </c>
      <c r="C70" s="25" t="s">
        <v>85</v>
      </c>
      <c r="D70" s="25" t="s">
        <v>157</v>
      </c>
      <c r="E70" s="25" t="s">
        <v>87</v>
      </c>
      <c r="F70" s="25" t="n">
        <v>114</v>
      </c>
      <c r="G70" s="25" t="s">
        <v>117</v>
      </c>
      <c r="H70" s="25" t="n">
        <v>1</v>
      </c>
      <c r="I70" s="27" t="n">
        <v>0.701</v>
      </c>
      <c r="J70" s="28" t="n">
        <v>1235901</v>
      </c>
      <c r="K70" s="28" t="n">
        <v>-586528</v>
      </c>
      <c r="L70" s="25" t="s">
        <v>83</v>
      </c>
    </row>
    <row r="71" customFormat="false" ht="15" hidden="false" customHeight="false" outlineLevel="0" collapsed="false">
      <c r="A71" s="25" t="s">
        <v>25</v>
      </c>
      <c r="B71" s="29" t="s">
        <v>84</v>
      </c>
      <c r="C71" s="25" t="s">
        <v>85</v>
      </c>
      <c r="D71" s="25" t="s">
        <v>158</v>
      </c>
      <c r="E71" s="25" t="s">
        <v>87</v>
      </c>
      <c r="F71" s="25" t="n">
        <v>114</v>
      </c>
      <c r="G71" s="25" t="s">
        <v>117</v>
      </c>
      <c r="H71" s="25" t="n">
        <v>1</v>
      </c>
      <c r="I71" s="27" t="n">
        <v>0.701</v>
      </c>
      <c r="J71" s="28" t="n">
        <v>1239095</v>
      </c>
      <c r="K71" s="28" t="n">
        <v>-585797</v>
      </c>
      <c r="L71" s="25" t="s">
        <v>83</v>
      </c>
    </row>
    <row r="72" customFormat="false" ht="15" hidden="false" customHeight="false" outlineLevel="0" collapsed="false">
      <c r="A72" s="25" t="s">
        <v>25</v>
      </c>
      <c r="B72" s="29" t="s">
        <v>84</v>
      </c>
      <c r="C72" s="25" t="s">
        <v>85</v>
      </c>
      <c r="D72" s="25" t="s">
        <v>159</v>
      </c>
      <c r="E72" s="25" t="s">
        <v>87</v>
      </c>
      <c r="F72" s="25" t="n">
        <v>114</v>
      </c>
      <c r="G72" s="25" t="s">
        <v>117</v>
      </c>
      <c r="H72" s="25" t="n">
        <v>1</v>
      </c>
      <c r="I72" s="27" t="n">
        <v>0.701</v>
      </c>
      <c r="J72" s="28" t="n">
        <v>1238866</v>
      </c>
      <c r="K72" s="28" t="n">
        <v>-586620</v>
      </c>
      <c r="L72" s="25" t="s">
        <v>83</v>
      </c>
    </row>
    <row r="73" customFormat="false" ht="15" hidden="false" customHeight="false" outlineLevel="0" collapsed="false">
      <c r="A73" s="25" t="s">
        <v>25</v>
      </c>
      <c r="B73" s="29" t="s">
        <v>84</v>
      </c>
      <c r="C73" s="25" t="s">
        <v>85</v>
      </c>
      <c r="D73" s="25" t="s">
        <v>160</v>
      </c>
      <c r="E73" s="25" t="s">
        <v>87</v>
      </c>
      <c r="F73" s="25" t="n">
        <v>114</v>
      </c>
      <c r="G73" s="25" t="s">
        <v>117</v>
      </c>
      <c r="H73" s="25" t="n">
        <v>1</v>
      </c>
      <c r="I73" s="27" t="n">
        <v>0.701</v>
      </c>
      <c r="J73" s="28" t="n">
        <v>1238903</v>
      </c>
      <c r="K73" s="28" t="n">
        <v>-586259</v>
      </c>
      <c r="L73" s="25" t="s">
        <v>83</v>
      </c>
    </row>
    <row r="74" customFormat="false" ht="15" hidden="false" customHeight="false" outlineLevel="0" collapsed="false">
      <c r="A74" s="25" t="s">
        <v>25</v>
      </c>
      <c r="B74" s="29" t="s">
        <v>84</v>
      </c>
      <c r="C74" s="25" t="s">
        <v>85</v>
      </c>
      <c r="D74" s="25" t="s">
        <v>161</v>
      </c>
      <c r="E74" s="25" t="s">
        <v>87</v>
      </c>
      <c r="F74" s="25" t="n">
        <v>114</v>
      </c>
      <c r="G74" s="25" t="s">
        <v>117</v>
      </c>
      <c r="H74" s="25" t="n">
        <v>1</v>
      </c>
      <c r="I74" s="27" t="n">
        <v>0.701</v>
      </c>
      <c r="J74" s="28" t="n">
        <v>1234561</v>
      </c>
      <c r="K74" s="28" t="n">
        <v>-586430</v>
      </c>
      <c r="L74" s="25" t="s">
        <v>83</v>
      </c>
    </row>
    <row r="75" customFormat="false" ht="15" hidden="false" customHeight="false" outlineLevel="0" collapsed="false">
      <c r="A75" s="25" t="s">
        <v>25</v>
      </c>
      <c r="B75" s="29" t="s">
        <v>84</v>
      </c>
      <c r="C75" s="25" t="s">
        <v>85</v>
      </c>
      <c r="D75" s="25" t="s">
        <v>162</v>
      </c>
      <c r="E75" s="25" t="s">
        <v>87</v>
      </c>
      <c r="F75" s="25" t="n">
        <v>114</v>
      </c>
      <c r="G75" s="25" t="s">
        <v>117</v>
      </c>
      <c r="H75" s="25" t="n">
        <v>1</v>
      </c>
      <c r="I75" s="27" t="n">
        <v>0.701</v>
      </c>
      <c r="J75" s="28" t="n">
        <v>1236424</v>
      </c>
      <c r="K75" s="28" t="n">
        <v>-586504</v>
      </c>
      <c r="L75" s="25" t="s">
        <v>83</v>
      </c>
    </row>
    <row r="76" customFormat="false" ht="15" hidden="false" customHeight="false" outlineLevel="0" collapsed="false">
      <c r="A76" s="25" t="s">
        <v>25</v>
      </c>
      <c r="B76" s="29" t="s">
        <v>84</v>
      </c>
      <c r="C76" s="25" t="s">
        <v>85</v>
      </c>
      <c r="D76" s="25" t="s">
        <v>163</v>
      </c>
      <c r="E76" s="25" t="s">
        <v>87</v>
      </c>
      <c r="F76" s="25" t="n">
        <v>114</v>
      </c>
      <c r="G76" s="25" t="s">
        <v>117</v>
      </c>
      <c r="H76" s="25" t="n">
        <v>1</v>
      </c>
      <c r="I76" s="27" t="n">
        <v>0.701</v>
      </c>
      <c r="J76" s="28" t="n">
        <v>1238008</v>
      </c>
      <c r="K76" s="28" t="n">
        <v>-586702</v>
      </c>
      <c r="L76" s="25" t="s">
        <v>83</v>
      </c>
    </row>
    <row r="77" customFormat="false" ht="15" hidden="false" customHeight="false" outlineLevel="0" collapsed="false">
      <c r="A77" s="25" t="s">
        <v>25</v>
      </c>
      <c r="B77" s="29" t="s">
        <v>84</v>
      </c>
      <c r="C77" s="25" t="s">
        <v>85</v>
      </c>
      <c r="D77" s="25" t="s">
        <v>164</v>
      </c>
      <c r="E77" s="25" t="s">
        <v>87</v>
      </c>
      <c r="F77" s="25" t="n">
        <v>114</v>
      </c>
      <c r="G77" s="25" t="s">
        <v>117</v>
      </c>
      <c r="H77" s="25" t="n">
        <v>1</v>
      </c>
      <c r="I77" s="27" t="n">
        <v>0.701</v>
      </c>
      <c r="J77" s="28" t="n">
        <v>1237913</v>
      </c>
      <c r="K77" s="28" t="n">
        <v>-586259</v>
      </c>
      <c r="L77" s="25" t="s">
        <v>83</v>
      </c>
    </row>
    <row r="78" customFormat="false" ht="15" hidden="false" customHeight="false" outlineLevel="0" collapsed="false">
      <c r="A78" s="25" t="s">
        <v>25</v>
      </c>
      <c r="B78" s="29" t="s">
        <v>84</v>
      </c>
      <c r="C78" s="25" t="s">
        <v>85</v>
      </c>
      <c r="D78" s="25" t="s">
        <v>165</v>
      </c>
      <c r="E78" s="25" t="s">
        <v>87</v>
      </c>
      <c r="F78" s="25" t="n">
        <v>114</v>
      </c>
      <c r="G78" s="25" t="s">
        <v>117</v>
      </c>
      <c r="H78" s="25" t="n">
        <v>1</v>
      </c>
      <c r="I78" s="27" t="n">
        <v>0.701</v>
      </c>
      <c r="J78" s="28" t="n">
        <v>1239610</v>
      </c>
      <c r="K78" s="28" t="n">
        <v>-586178</v>
      </c>
      <c r="L78" s="25" t="s">
        <v>83</v>
      </c>
    </row>
    <row r="79" customFormat="false" ht="15" hidden="false" customHeight="false" outlineLevel="0" collapsed="false">
      <c r="A79" s="25" t="s">
        <v>25</v>
      </c>
      <c r="B79" s="29" t="s">
        <v>84</v>
      </c>
      <c r="C79" s="25" t="s">
        <v>85</v>
      </c>
      <c r="D79" s="25" t="s">
        <v>166</v>
      </c>
      <c r="E79" s="25" t="s">
        <v>87</v>
      </c>
      <c r="F79" s="25" t="n">
        <v>114</v>
      </c>
      <c r="G79" s="25" t="s">
        <v>117</v>
      </c>
      <c r="H79" s="25" t="n">
        <v>1</v>
      </c>
      <c r="I79" s="27" t="n">
        <v>0.655</v>
      </c>
      <c r="J79" s="28" t="n">
        <v>1237408</v>
      </c>
      <c r="K79" s="28" t="n">
        <v>-585877</v>
      </c>
      <c r="L79" s="25" t="s">
        <v>83</v>
      </c>
    </row>
    <row r="80" customFormat="false" ht="15" hidden="false" customHeight="false" outlineLevel="0" collapsed="false">
      <c r="A80" s="25" t="s">
        <v>25</v>
      </c>
      <c r="B80" s="29" t="s">
        <v>84</v>
      </c>
      <c r="C80" s="25" t="s">
        <v>85</v>
      </c>
      <c r="D80" s="25" t="s">
        <v>167</v>
      </c>
      <c r="E80" s="25" t="s">
        <v>87</v>
      </c>
      <c r="F80" s="25" t="n">
        <v>114</v>
      </c>
      <c r="G80" s="25" t="s">
        <v>117</v>
      </c>
      <c r="H80" s="25" t="n">
        <v>1</v>
      </c>
      <c r="I80" s="27" t="n">
        <v>0.627</v>
      </c>
      <c r="J80" s="28" t="n">
        <v>1236268</v>
      </c>
      <c r="K80" s="28" t="n">
        <v>-585980</v>
      </c>
      <c r="L80" s="25" t="s">
        <v>83</v>
      </c>
    </row>
    <row r="81" customFormat="false" ht="15" hidden="false" customHeight="false" outlineLevel="0" collapsed="false">
      <c r="A81" s="25" t="s">
        <v>25</v>
      </c>
      <c r="B81" s="30" t="s">
        <v>111</v>
      </c>
      <c r="C81" s="25" t="s">
        <v>79</v>
      </c>
      <c r="D81" s="25" t="s">
        <v>168</v>
      </c>
      <c r="E81" s="25" t="s">
        <v>125</v>
      </c>
      <c r="F81" s="25" t="n">
        <v>2</v>
      </c>
      <c r="G81" s="25" t="s">
        <v>82</v>
      </c>
      <c r="H81" s="25" t="n">
        <v>26</v>
      </c>
      <c r="I81" s="27" t="n">
        <v>66.653</v>
      </c>
      <c r="J81" s="28" t="n">
        <v>1241712</v>
      </c>
      <c r="K81" s="28" t="n">
        <v>-613568</v>
      </c>
      <c r="L81" s="25" t="s">
        <v>83</v>
      </c>
    </row>
    <row r="82" customFormat="false" ht="15" hidden="false" customHeight="false" outlineLevel="0" collapsed="false">
      <c r="A82" s="25" t="s">
        <v>25</v>
      </c>
      <c r="B82" s="30" t="s">
        <v>111</v>
      </c>
      <c r="C82" s="25" t="s">
        <v>79</v>
      </c>
      <c r="D82" s="25" t="s">
        <v>169</v>
      </c>
      <c r="E82" s="25" t="s">
        <v>125</v>
      </c>
      <c r="F82" s="25" t="n">
        <v>2</v>
      </c>
      <c r="G82" s="25" t="s">
        <v>82</v>
      </c>
      <c r="H82" s="25" t="n">
        <v>4</v>
      </c>
      <c r="I82" s="27" t="n">
        <v>5.025</v>
      </c>
      <c r="J82" s="28" t="n">
        <v>1222898</v>
      </c>
      <c r="K82" s="28" t="n">
        <v>-594508</v>
      </c>
      <c r="L82" s="25" t="s">
        <v>83</v>
      </c>
    </row>
    <row r="83" customFormat="false" ht="15" hidden="false" customHeight="false" outlineLevel="0" collapsed="false">
      <c r="A83" s="25" t="s">
        <v>25</v>
      </c>
      <c r="B83" s="30" t="s">
        <v>111</v>
      </c>
      <c r="C83" s="25" t="s">
        <v>79</v>
      </c>
      <c r="D83" s="25" t="s">
        <v>170</v>
      </c>
      <c r="E83" s="25" t="s">
        <v>125</v>
      </c>
      <c r="F83" s="25" t="n">
        <v>2</v>
      </c>
      <c r="G83" s="25" t="s">
        <v>117</v>
      </c>
      <c r="H83" s="25" t="n">
        <v>1</v>
      </c>
      <c r="I83" s="27" t="n">
        <v>0.344</v>
      </c>
      <c r="J83" s="28" t="n">
        <v>1227579</v>
      </c>
      <c r="K83" s="28" t="n">
        <v>-590588</v>
      </c>
      <c r="L83" s="25" t="s">
        <v>83</v>
      </c>
    </row>
    <row r="84" customFormat="false" ht="15" hidden="false" customHeight="false" outlineLevel="0" collapsed="false">
      <c r="A84" s="25" t="s">
        <v>28</v>
      </c>
      <c r="B84" s="29" t="s">
        <v>84</v>
      </c>
      <c r="C84" s="25" t="s">
        <v>85</v>
      </c>
      <c r="D84" s="25" t="s">
        <v>171</v>
      </c>
      <c r="E84" s="25" t="s">
        <v>172</v>
      </c>
      <c r="F84" s="25" t="n">
        <v>114</v>
      </c>
      <c r="G84" s="25" t="s">
        <v>82</v>
      </c>
      <c r="H84" s="25" t="n">
        <v>2</v>
      </c>
      <c r="I84" s="27" t="n">
        <v>380.765</v>
      </c>
      <c r="J84" s="28" t="n">
        <v>1249881</v>
      </c>
      <c r="K84" s="28" t="n">
        <v>-798939</v>
      </c>
      <c r="L84" s="25" t="s">
        <v>83</v>
      </c>
    </row>
    <row r="85" customFormat="false" ht="15" hidden="false" customHeight="false" outlineLevel="0" collapsed="false">
      <c r="A85" s="25" t="s">
        <v>28</v>
      </c>
      <c r="B85" s="29" t="s">
        <v>84</v>
      </c>
      <c r="C85" s="25" t="s">
        <v>85</v>
      </c>
      <c r="D85" s="25" t="s">
        <v>173</v>
      </c>
      <c r="E85" s="25" t="s">
        <v>172</v>
      </c>
      <c r="F85" s="25" t="n">
        <v>114</v>
      </c>
      <c r="G85" s="25" t="s">
        <v>82</v>
      </c>
      <c r="H85" s="25" t="n">
        <v>5</v>
      </c>
      <c r="I85" s="27" t="n">
        <v>185.23</v>
      </c>
      <c r="J85" s="28" t="n">
        <v>1249882</v>
      </c>
      <c r="K85" s="28" t="n">
        <v>-798937</v>
      </c>
      <c r="L85" s="25" t="s">
        <v>83</v>
      </c>
    </row>
    <row r="86" customFormat="false" ht="15" hidden="false" customHeight="false" outlineLevel="0" collapsed="false">
      <c r="A86" s="25" t="s">
        <v>28</v>
      </c>
      <c r="B86" s="30" t="s">
        <v>111</v>
      </c>
      <c r="C86" s="25" t="s">
        <v>79</v>
      </c>
      <c r="D86" s="25" t="s">
        <v>174</v>
      </c>
      <c r="E86" s="25" t="s">
        <v>175</v>
      </c>
      <c r="F86" s="25" t="n">
        <v>2</v>
      </c>
      <c r="G86" s="25" t="s">
        <v>82</v>
      </c>
      <c r="H86" s="25" t="n">
        <v>2</v>
      </c>
      <c r="I86" s="27" t="n">
        <v>58.601</v>
      </c>
      <c r="J86" s="28" t="n">
        <v>1249882</v>
      </c>
      <c r="K86" s="28" t="n">
        <v>-798937</v>
      </c>
      <c r="L86" s="25" t="s">
        <v>83</v>
      </c>
    </row>
    <row r="88" customFormat="false" ht="15" hidden="false" customHeight="false" outlineLevel="0" collapsed="false">
      <c r="A88" s="31" t="s">
        <v>176</v>
      </c>
    </row>
    <row r="89" customFormat="false" ht="15" hidden="false" customHeight="false" outlineLevel="0" collapsed="false">
      <c r="A89" s="3" t="s">
        <v>13</v>
      </c>
      <c r="B89" s="3" t="s">
        <v>177</v>
      </c>
      <c r="I89" s="32" t="n">
        <f aca="false">SUMIFS($I$4:$I$86,$A$4:$A$86,A89,$C$4:$C$86,"SikaTop Seal-107",$B$4:$B$86,"Existing RC gutter (magenta)",$L$4:$L$86,"Yes")</f>
        <v>309.84</v>
      </c>
    </row>
    <row r="90" customFormat="false" ht="15" hidden="false" customHeight="false" outlineLevel="0" collapsed="false">
      <c r="A90" s="3" t="s">
        <v>19</v>
      </c>
      <c r="B90" s="3" t="s">
        <v>3</v>
      </c>
      <c r="I90" s="32" t="n">
        <f aca="false">SUMIFS($I$4:$I$86,$A$4:$A$86,A90,$C$4:$C$86,"Sikalastic-632 R",$B$4:$B$86,"Floor - proposed waterproofing area (green)",$L$4:$L$86,"Yes")</f>
        <v>980.345</v>
      </c>
    </row>
    <row r="91" customFormat="false" ht="15" hidden="false" customHeight="false" outlineLevel="0" collapsed="false">
      <c r="A91" s="3" t="s">
        <v>19</v>
      </c>
      <c r="B91" s="3" t="s">
        <v>178</v>
      </c>
      <c r="I91" s="32" t="n">
        <f aca="false">SUMIFS($I$4:$I$86,$A$4:$A$86,A91,$C$4:$C$86,"SikaTop Seal-107",$B$4:$B$86,"Scupper drain 300mm (yellow)",$L$4:$L$86,"Yes")</f>
        <v>110.488</v>
      </c>
    </row>
    <row r="92" customFormat="false" ht="15" hidden="false" customHeight="false" outlineLevel="0" collapsed="false">
      <c r="A92" s="3" t="s">
        <v>22</v>
      </c>
      <c r="B92" s="3" t="s">
        <v>3</v>
      </c>
      <c r="I92" s="32" t="n">
        <f aca="false">SUMIFS($I$4:$I$86,$A$4:$A$86,A92,$C$4:$C$86,"Sikalastic-632 R",$B$4:$B$86,"Floor - proposed waterproofing area (green)",$L$4:$L$86,"Yes")</f>
        <v>793.021</v>
      </c>
    </row>
    <row r="93" customFormat="false" ht="15" hidden="false" customHeight="false" outlineLevel="0" collapsed="false">
      <c r="A93" s="3" t="s">
        <v>22</v>
      </c>
      <c r="B93" s="3" t="s">
        <v>178</v>
      </c>
      <c r="I93" s="32" t="n">
        <f aca="false">SUMIFS($I$4:$I$86,$A$4:$A$86,A93,$C$4:$C$86,"SikaTop Seal-107",$B$4:$B$86,"Scupper drain 300mm (yellow)",$L$4:$L$86,"Yes")</f>
        <v>96.786</v>
      </c>
    </row>
    <row r="94" customFormat="false" ht="15" hidden="false" customHeight="false" outlineLevel="0" collapsed="false">
      <c r="A94" s="3" t="s">
        <v>25</v>
      </c>
      <c r="B94" s="3" t="s">
        <v>3</v>
      </c>
      <c r="I94" s="32" t="n">
        <f aca="false">SUMIFS($I$4:$I$86,$A$4:$A$86,A94,$C$4:$C$86,"Sikalastic-632 R",$B$4:$B$86,"Floor - proposed waterproofing area (green)",$L$4:$L$86,"Yes")</f>
        <v>564.224</v>
      </c>
    </row>
    <row r="95" customFormat="false" ht="15" hidden="false" customHeight="false" outlineLevel="0" collapsed="false">
      <c r="A95" s="3" t="s">
        <v>25</v>
      </c>
      <c r="B95" s="3" t="s">
        <v>178</v>
      </c>
      <c r="I95" s="32" t="n">
        <f aca="false">SUMIFS($I$4:$I$86,$A$4:$A$86,A95,$C$4:$C$86,"SikaTop Seal-107",$B$4:$B$86,"Scupper drain 300mm (yellow)",$L$4:$L$86,"Yes")</f>
        <v>72.022</v>
      </c>
    </row>
    <row r="96" customFormat="false" ht="15" hidden="false" customHeight="false" outlineLevel="0" collapsed="false">
      <c r="A96" s="3" t="s">
        <v>28</v>
      </c>
      <c r="B96" s="3" t="s">
        <v>3</v>
      </c>
      <c r="I96" s="32" t="n">
        <f aca="false">SUMIFS($I$4:$I$86,$A$4:$A$86,A96,$C$4:$C$86,"Sikalastic-632 R",$B$4:$B$86,"Floor - proposed waterproofing area (green)",$L$4:$L$86,"Yes")</f>
        <v>565.995</v>
      </c>
    </row>
    <row r="97" customFormat="false" ht="15" hidden="false" customHeight="false" outlineLevel="0" collapsed="false">
      <c r="A97" s="3" t="s">
        <v>28</v>
      </c>
      <c r="B97" s="3" t="s">
        <v>178</v>
      </c>
      <c r="I97" s="32" t="n">
        <f aca="false">SUMIFS($I$4:$I$86,$A$4:$A$86,A97,$C$4:$C$86,"SikaTop Seal-107",$B$4:$B$86,"Scupper drain 300mm (yellow)",$L$4:$L$86,"Yes")</f>
        <v>58.601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33" t="s">
        <v>179</v>
      </c>
    </row>
    <row r="2" customFormat="false" ht="23.85" hidden="false" customHeight="false" outlineLevel="0" collapsed="false">
      <c r="A2" s="34" t="s">
        <v>180</v>
      </c>
    </row>
    <row r="3" customFormat="false" ht="15" hidden="false" customHeight="false" outlineLevel="0" collapsed="false">
      <c r="A3" s="34" t="s">
        <v>181</v>
      </c>
    </row>
    <row r="4" customFormat="false" ht="15" hidden="false" customHeight="false" outlineLevel="0" collapsed="false">
      <c r="A4" s="34"/>
    </row>
    <row r="5" customFormat="false" ht="15" hidden="false" customHeight="false" outlineLevel="0" collapsed="false">
      <c r="A5" s="33" t="s">
        <v>182</v>
      </c>
    </row>
    <row r="6" customFormat="false" ht="23.85" hidden="false" customHeight="false" outlineLevel="0" collapsed="false">
      <c r="A6" s="34" t="s">
        <v>183</v>
      </c>
    </row>
    <row r="7" customFormat="false" ht="15" hidden="false" customHeight="false" outlineLevel="0" collapsed="false">
      <c r="A7" s="34" t="s">
        <v>184</v>
      </c>
    </row>
    <row r="8" customFormat="false" ht="35.05" hidden="false" customHeight="false" outlineLevel="0" collapsed="false">
      <c r="A8" s="34" t="s">
        <v>185</v>
      </c>
    </row>
    <row r="9" customFormat="false" ht="23.85" hidden="false" customHeight="false" outlineLevel="0" collapsed="false">
      <c r="A9" s="34" t="s">
        <v>186</v>
      </c>
    </row>
    <row r="10" customFormat="false" ht="15" hidden="false" customHeight="false" outlineLevel="0" collapsed="false">
      <c r="A10" s="34"/>
    </row>
    <row r="11" customFormat="false" ht="15" hidden="false" customHeight="false" outlineLevel="0" collapsed="false">
      <c r="A11" s="33" t="s">
        <v>187</v>
      </c>
    </row>
    <row r="12" customFormat="false" ht="23.85" hidden="false" customHeight="false" outlineLevel="0" collapsed="false">
      <c r="A12" s="34" t="s">
        <v>188</v>
      </c>
    </row>
    <row r="13" customFormat="false" ht="23.85" hidden="false" customHeight="false" outlineLevel="0" collapsed="false">
      <c r="A13" s="34" t="s">
        <v>189</v>
      </c>
    </row>
    <row r="14" customFormat="false" ht="15" hidden="false" customHeight="false" outlineLevel="0" collapsed="false">
      <c r="A14" s="34"/>
    </row>
    <row r="15" customFormat="false" ht="15" hidden="false" customHeight="false" outlineLevel="0" collapsed="false">
      <c r="A15" s="33" t="s">
        <v>190</v>
      </c>
    </row>
    <row r="16" customFormat="false" ht="15" hidden="false" customHeight="false" outlineLevel="0" collapsed="false">
      <c r="A16" s="34" t="s">
        <v>191</v>
      </c>
    </row>
    <row r="17" customFormat="false" ht="15" hidden="false" customHeight="false" outlineLevel="0" collapsed="false">
      <c r="A17" s="34" t="s">
        <v>192</v>
      </c>
    </row>
    <row r="18" customFormat="false" ht="23.85" hidden="false" customHeight="false" outlineLevel="0" collapsed="false">
      <c r="A18" s="34" t="s">
        <v>193</v>
      </c>
    </row>
    <row r="19" customFormat="false" ht="15" hidden="false" customHeight="false" outlineLevel="0" collapsed="false">
      <c r="A19" s="34" t="s">
        <v>194</v>
      </c>
    </row>
    <row r="20" customFormat="false" ht="15" hidden="false" customHeight="false" outlineLevel="0" collapsed="false">
      <c r="A20" s="34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2026-10-12T08:53:47Z</dcterms:created>
  <dc:creator>openpyxl</dc:creator>
  <dc:description/>
  <dc:language>en-US</dc:language>
  <cp:lastModifiedBy/>
  <dcterms:modified xsi:type="dcterms:W3CDTF">2026-10-12T08:53:47Z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