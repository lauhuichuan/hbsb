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ane Selection" sheetId="1" state="visible" r:id="rId3"/>
    <sheet name="Hoisting Programme" sheetId="2" state="visible" r:id="rId4"/>
    <sheet name="Logistics Co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<sst xmlns="http://schemas.openxmlformats.org/spreadsheetml/2006/main" count="199" uniqueCount="177">
  <si>
    <t xml:space="preserve">CRANE SELECTION - HOISTING TO ROOF BALCONIES, WISMA BINTULU</t>
  </si>
  <si>
    <t xml:space="preserve">Geometry from section drawing 8/11 (Ground-L1 = 6.0 m, L1-L6 = 4.5 m per floor; grid 9.0 m) and from the CAD plan take-off (balcony ring radii). Yellow = inputs; verify with the crane supplier load chart before hire.</t>
  </si>
  <si>
    <t xml:space="preserve">1. CRANE STANDING POSITION &amp; RIGGING INPUTS</t>
  </si>
  <si>
    <t xml:space="preserve">Distance of crane slew centre from building centre (m)</t>
  </si>
  <si>
    <t xml:space="preserve">Podium / 1st-floor gutter outer radius is 49.8 m; crane set up on ground outside the podium with outrigger half-spread + clearance ≈ 7 m</t>
  </si>
  <si>
    <t xml:space="preserve">Landing point set in from balcony outer edge (m)</t>
  </si>
  <si>
    <t xml:space="preserve">Load landed just inside the parapet / edge on the ring</t>
  </si>
  <si>
    <t xml:space="preserve">Clearance above floor level for landing &amp; parapet (m)</t>
  </si>
  <si>
    <t xml:space="preserve">Parapet / upstand + landing clearance</t>
  </si>
  <si>
    <t xml:space="preserve">Rigging height: cage + slings + hook block (m)</t>
  </si>
  <si>
    <t xml:space="preserve">Pallet cage ~1.2 m + 4-leg sling ~1.5 m + hook block</t>
  </si>
  <si>
    <t xml:space="preserve">Safety clearance under boom tip (m)</t>
  </si>
  <si>
    <t xml:space="preserve">Design load per lift incl. cage / pallet (t)</t>
  </si>
  <si>
    <t xml:space="preserve">~36 pails of Sikalastic-632 R (0.76 t) or 32 bags of screed (0.8 t) in a 0.1 t cage, max 1.0 t</t>
  </si>
  <si>
    <t xml:space="preserve">Dynamic / safety factor on load</t>
  </si>
  <si>
    <t xml:space="preserve">Rated capacity required = design load x factor (crane chart utilisation ≤ 80%)</t>
  </si>
  <si>
    <t xml:space="preserve">2. REQUIRED REACH PER LEVEL</t>
  </si>
  <si>
    <t xml:space="preserve">Level</t>
  </si>
  <si>
    <t xml:space="preserve">Floor level above ground (m)</t>
  </si>
  <si>
    <t xml:space="preserve">Balcony / gutter outer radius from building centre (m)</t>
  </si>
  <si>
    <t xml:space="preserve">Element</t>
  </si>
  <si>
    <t xml:space="preserve">Required hook height (m)</t>
  </si>
  <si>
    <t xml:space="preserve">Required working radius (m)</t>
  </si>
  <si>
    <t xml:space="preserve">Rated capacity required at that radius (t)</t>
  </si>
  <si>
    <t xml:space="preserve">Remarks</t>
  </si>
  <si>
    <t xml:space="preserve">Level 1</t>
  </si>
  <si>
    <t xml:space="preserve">Existing RC gutter (podium roof edge)</t>
  </si>
  <si>
    <t xml:space="preserve">Gutter at podium perimeter; short radius, light loads</t>
  </si>
  <si>
    <t xml:space="preserve">Level 3</t>
  </si>
  <si>
    <t xml:space="preserve">Balcony floor + scupper drain</t>
  </si>
  <si>
    <t xml:space="preserve">Level 4</t>
  </si>
  <si>
    <t xml:space="preserve">Level 5</t>
  </si>
  <si>
    <t xml:space="preserve">Level 6</t>
  </si>
  <si>
    <t xml:space="preserve">Governs crane size: highest and furthest-in balcony</t>
  </si>
  <si>
    <t xml:space="preserve">GOVERNING (max)</t>
  </si>
  <si>
    <t xml:space="preserve">3. CRANE OPTIONS (indicative load-chart data - confirm with supplier chart for the actual boom configuration)</t>
  </si>
  <si>
    <t xml:space="preserve">Crane class</t>
  </si>
  <si>
    <t xml:space="preserve">Type</t>
  </si>
  <si>
    <t xml:space="preserve">Main boom (m)</t>
  </si>
  <si>
    <t xml:space="preserve">Max. working radius at 1.0 t with hook ≥ 33 m (m, indicative)</t>
  </si>
  <si>
    <t xml:space="preserve">Capacity at governing radius (t, indicative)</t>
  </si>
  <si>
    <t xml:space="preserve">Reach OK?</t>
  </si>
  <si>
    <t xml:space="preserve">Capacity OK?</t>
  </si>
  <si>
    <t xml:space="preserve">Verdict / remarks</t>
  </si>
  <si>
    <t xml:space="preserve">50 t</t>
  </si>
  <si>
    <t xml:space="preserve">All-terrain / truck mobile crane</t>
  </si>
  <si>
    <t xml:space="preserve">Too short: boom tip cannot reach Level 6 balcony at the required radius</t>
  </si>
  <si>
    <t xml:space="preserve">80 t</t>
  </si>
  <si>
    <t xml:space="preserve">All-terrain mobile crane</t>
  </si>
  <si>
    <t xml:space="preserve">Marginal: reaches Level 5; Level 6 only if crane can stand closer (≤ 52 m from centre)</t>
  </si>
  <si>
    <t xml:space="preserve">100 t</t>
  </si>
  <si>
    <t xml:space="preserve">RECOMMENDED - reaches all levels incl. Level 6 with 1.0 t loads at ≤ 80% utilisation</t>
  </si>
  <si>
    <t xml:space="preserve">130 t</t>
  </si>
  <si>
    <t xml:space="preserve">Suitable, extra margin for 1.5 t loads / standing further out; higher rate</t>
  </si>
  <si>
    <t xml:space="preserve">250 t</t>
  </si>
  <si>
    <t xml:space="preserve">Over-capacity; only if crane must stand on the service road (~69 m from centre)</t>
  </si>
  <si>
    <t xml:space="preserve">RECOMMENDATION</t>
  </si>
  <si>
    <t xml:space="preserve">Hire a 100 t class all-terrain mobile crane with ~60 m main boom (e.g. Liebherr LTM 1100 / Tadano ATF 100 / Sany STC1000 class). Governing lift: ~1.0 t to Level 6 balcony at ~38 m radius and ~34 m hook height. Set up on firm ground outside the podium (outrigger mats on compacted ground; check the service road / drains for outrigger loads up to ~45 t per pad).</t>
  </si>
  <si>
    <t xml:space="preserve">The balconies are rings, so each floor is served from 2-3 crane standing positions around the building (crane repositions ~1 hr each) and materials are trolleyed around the ring. Daily callout hire is more economical than monthly hire because hoisting is needed only for about 1 week in total, spread over the programme (see Hoisting Programme).</t>
  </si>
  <si>
    <t xml:space="preserve">Alternative for the Level 1 gutter only: a 50 t crane or a telehandler / material hoist, since the gutter is at the podium edge (6 m high, ~8.7 m radius).</t>
  </si>
  <si>
    <t xml:space="preserve">All lifts under a lifting plan by a competent person; crane with valid DOSH PMA certificate; operator licensed; signalman / rigger; tag lines; exclusion zone below the lifting path; no lifting in wind &gt; 9 m/s or lightning.</t>
  </si>
  <si>
    <t xml:space="preserve">HOISTING PROGRAMME - MATERIALS TO BE LIFTED AND CRANE DAYS REQUIRED</t>
  </si>
  <si>
    <t xml:space="preserve">Material quantities include 18% wastage (from the Material Requirement schedule). Screed and debris are allowances - adjust the yellow cells.</t>
  </si>
  <si>
    <t xml:space="preserve">1. HOISTING INPUTS</t>
  </si>
  <si>
    <t xml:space="preserve">Payload per lift, net of cage (t)</t>
  </si>
  <si>
    <t xml:space="preserve">Cage / pallet 1.0 t gross less 0.15 t cage &amp; pallet</t>
  </si>
  <si>
    <t xml:space="preserve">Lifts per hour (cycle incl. hook-up, lift ~35 m, land, unhook, return)</t>
  </si>
  <si>
    <t xml:space="preserve">~8.5 min cycle at Level 6; faster at lower levels</t>
  </si>
  <si>
    <t xml:space="preserve">Productive crane hours per day</t>
  </si>
  <si>
    <t xml:space="preserve">8 h shift less set-up, breaks, repositioning</t>
  </si>
  <si>
    <t xml:space="preserve">Crane repositions per floor (no.)</t>
  </si>
  <si>
    <t xml:space="preserve">Ring served from 2-3 standing positions</t>
  </si>
  <si>
    <t xml:space="preserve">Time per reposition (h)</t>
  </si>
  <si>
    <t xml:space="preserve">Outriggers in, travel, set up, re-level</t>
  </si>
  <si>
    <t xml:space="preserve">Screed to falls - average thickness (m)</t>
  </si>
  <si>
    <t xml:space="preserve">Set to 0 if no screed; 30 mm average over balcony floors</t>
  </si>
  <si>
    <t xml:space="preserve">Screed density, bagged dry material (t/m³)</t>
  </si>
  <si>
    <t xml:space="preserve">Pre-bagged sand-cement screed, 25-40 kg bags</t>
  </si>
  <si>
    <t xml:space="preserve">Debris / waste to be lowered (t per m²)</t>
  </si>
  <si>
    <t xml:space="preserve">Old coating, loose screed, silt from gutter ~5 kg/m²</t>
  </si>
  <si>
    <t xml:space="preserve">Tools, plant &amp; miscellaneous lifts per floor (no.)</t>
  </si>
  <si>
    <t xml:space="preserve">Mixers, grinders, water drums, barriers, rubbish skips</t>
  </si>
  <si>
    <t xml:space="preserve">2. MATERIALS TO HOIST PER FLOOR (tonnes)</t>
  </si>
  <si>
    <t xml:space="preserve">Floor</t>
  </si>
  <si>
    <t xml:space="preserve">Floor area (m²)</t>
  </si>
  <si>
    <t xml:space="preserve">Gutter / drain area (m²)</t>
  </si>
  <si>
    <t xml:space="preserve">SikaTop Seal-107 (t)</t>
  </si>
  <si>
    <t xml:space="preserve">Sikalastic U-Primer (t)</t>
  </si>
  <si>
    <t xml:space="preserve">Sikalastic-632 R (t)</t>
  </si>
  <si>
    <t xml:space="preserve">Repair mortar &amp; ancillaries (t)</t>
  </si>
  <si>
    <t xml:space="preserve">Screed to falls (t)</t>
  </si>
  <si>
    <t xml:space="preserve">Debris down (t)</t>
  </si>
  <si>
    <t xml:space="preserve">Total up-lifts (t)</t>
  </si>
  <si>
    <t xml:space="preserve">No. of lifts (incl. debris &amp; misc.)</t>
  </si>
  <si>
    <t xml:space="preserve">Crane hours</t>
  </si>
  <si>
    <t xml:space="preserve">Crane days</t>
  </si>
  <si>
    <t xml:space="preserve">Level 1 gutter</t>
  </si>
  <si>
    <t xml:space="preserve">TOTAL</t>
  </si>
  <si>
    <t xml:space="preserve">Crane days required (rounded up to whole days)</t>
  </si>
  <si>
    <t xml:space="preserve">Add: contingency days (weather, waiting, re-lifts)</t>
  </si>
  <si>
    <t xml:space="preserve">TOTAL CRANE DAYS TO ALLOW</t>
  </si>
  <si>
    <t xml:space="preserve">Notes:</t>
  </si>
  <si>
    <t xml:space="preserve">1. Hoisting is phased floor by floor to suit the works programme (Level 6 first, then 5, 4, 3, gutter), so the crane is called out for 1-2 days per floor rather than kept on site continuously.</t>
  </si>
  <si>
    <t xml:space="preserve">2. Screed quantity is an allowance (average 30 mm). If screeding to falls is not in the contract scope, set the thickness to 0 - crane days then fall to roughly 2 days plus contingency.</t>
  </si>
  <si>
    <t xml:space="preserve">3. Lifts per hour assume a pallet cage with pre-loaded pallets at ground level and a rigger at each landing point; two landing points per floor.</t>
  </si>
  <si>
    <t xml:space="preserve">LOGISTICS &amp; CRANE HIRE COST SUMMARY (RM)</t>
  </si>
  <si>
    <t xml:space="preserve">Indicative Sarawak / Bintulu hire rates for budgeting only - obtain quotations from local crane hirers. Yellow = inputs.</t>
  </si>
  <si>
    <t xml:space="preserve">1. CRANE HIRE RATES (indicative, operator included, 8-hour day, excl. SST)</t>
  </si>
  <si>
    <t xml:space="preserve">Daily rate (RM/day)</t>
  </si>
  <si>
    <t xml:space="preserve">Monthly rate (RM/month, 26 days)</t>
  </si>
  <si>
    <t xml:space="preserve">Mobilisation + demobilisation (RM, lump sum)</t>
  </si>
  <si>
    <t xml:space="preserve">Rigger / signalman (RM/day)</t>
  </si>
  <si>
    <t xml:space="preserve">Suitable for Level 1 gutter only</t>
  </si>
  <si>
    <t xml:space="preserve">Marginal reach for Level 6</t>
  </si>
  <si>
    <t xml:space="preserve">RECOMMENDED</t>
  </si>
  <si>
    <t xml:space="preserve">Extra margin</t>
  </si>
  <si>
    <t xml:space="preserve">Only if standing on service road</t>
  </si>
  <si>
    <t xml:space="preserve">2. SELECTED CRANE &amp; HIRE BASIS</t>
  </si>
  <si>
    <t xml:space="preserve">Selected crane class</t>
  </si>
  <si>
    <t xml:space="preserve">Type exactly as in the rate table (50 t / 80 t / 100 t / 130 t / 250 t)</t>
  </si>
  <si>
    <t xml:space="preserve">Crane days required (from Hoisting Programme, incl. contingency)</t>
  </si>
  <si>
    <t xml:space="preserve">Number of separate call-outs (mobilisations) for daily hire</t>
  </si>
  <si>
    <t xml:space="preserve">One call-out per floor (L6, L5, L4, L3, gutter) - reduce if floors are combined</t>
  </si>
  <si>
    <t xml:space="preserve">Months on hire if monthly basis</t>
  </si>
  <si>
    <t xml:space="preserve">Daily rate of selected crane</t>
  </si>
  <si>
    <t xml:space="preserve">Monthly rate of selected crane</t>
  </si>
  <si>
    <t xml:space="preserve">Mob/demob of selected crane (per call-out)</t>
  </si>
  <si>
    <t xml:space="preserve">Rigger / signalman rate</t>
  </si>
  <si>
    <t xml:space="preserve">3. CRANE COST - DAILY HIRE vs MONTHLY HIRE</t>
  </si>
  <si>
    <t xml:space="preserve">Cost item</t>
  </si>
  <si>
    <t xml:space="preserve">Option A: Daily call-out hire (RM)</t>
  </si>
  <si>
    <t xml:space="preserve">Option B: Monthly hire (RM)</t>
  </si>
  <si>
    <t xml:space="preserve">Basis</t>
  </si>
  <si>
    <t xml:space="preserve">Crane hire</t>
  </si>
  <si>
    <t xml:space="preserve">A: days x daily rate; B: months x monthly rate</t>
  </si>
  <si>
    <t xml:space="preserve">Mobilisation / demobilisation</t>
  </si>
  <si>
    <t xml:space="preserve">A: per call-out; B: once</t>
  </si>
  <si>
    <t xml:space="preserve">Rigger / signalman (2 nos.)</t>
  </si>
  <si>
    <t xml:space="preserve">Two riggers (ground + landing)</t>
  </si>
  <si>
    <t xml:space="preserve">Outrigger mats / ground protection &amp; lifting plan</t>
  </si>
  <si>
    <t xml:space="preserve">Allowance (steel plates / timber mats hire, competent-person lifting plan)</t>
  </si>
  <si>
    <t xml:space="preserve">Pallet cage / lifting gear hire &amp; inspection</t>
  </si>
  <si>
    <t xml:space="preserve">Allowance</t>
  </si>
  <si>
    <t xml:space="preserve">Road / site permit, traffic control, barricades</t>
  </si>
  <si>
    <t xml:space="preserve">Allowance - BDA / building management</t>
  </si>
  <si>
    <t xml:space="preserve">SUB-TOTAL CRANE &amp; LIFTING</t>
  </si>
  <si>
    <t xml:space="preserve">Cheaper option</t>
  </si>
  <si>
    <t xml:space="preserve">Saving vs the other option</t>
  </si>
  <si>
    <t xml:space="preserve">4. MATERIAL TRANSPORT &amp; OTHER LOGISTICS</t>
  </si>
  <si>
    <t xml:space="preserve">Item</t>
  </si>
  <si>
    <t xml:space="preserve">Quantity</t>
  </si>
  <si>
    <t xml:space="preserve">Unit rate (RM)</t>
  </si>
  <si>
    <t xml:space="preserve">Cost (RM)</t>
  </si>
  <si>
    <t xml:space="preserve">Supplier delivery - Sika materials to site (lorry trips, 10 t)</t>
  </si>
  <si>
    <t xml:space="preserve">~12 t Sika products from Sika Kimia / stockist (Kuching / Bintulu) - confirm freight terms</t>
  </si>
  <si>
    <t xml:space="preserve">Supplier delivery - screed &amp; repair mortar (lorry trips, 10 t)</t>
  </si>
  <si>
    <t xml:space="preserve">~165 t bagged screed + mortar, local supplier</t>
  </si>
  <si>
    <t xml:space="preserve">Forklift / pallet jack hire for ground handling (days)</t>
  </si>
  <si>
    <t xml:space="preserve">Loading cages at ground level</t>
  </si>
  <si>
    <t xml:space="preserve">Trolleys / barrows for distribution around balcony rings (nos.)</t>
  </si>
  <si>
    <t xml:space="preserve">Purchase</t>
  </si>
  <si>
    <t xml:space="preserve">Waste removal skips (nos.)</t>
  </si>
  <si>
    <t xml:space="preserve">Debris, empty pails - licensed disposal</t>
  </si>
  <si>
    <t xml:space="preserve">Site store container hire (months)</t>
  </si>
  <si>
    <t xml:space="preserve">Shaded, locked store for solvent-based products</t>
  </si>
  <si>
    <t xml:space="preserve">SUB-TOTAL TRANSPORT &amp; LOGISTICS</t>
  </si>
  <si>
    <t xml:space="preserve">5. LOGISTICS COST SUMMARY</t>
  </si>
  <si>
    <t xml:space="preserve">Option A: Daily hire (RM)</t>
  </si>
  <si>
    <t xml:space="preserve">Crane &amp; lifting</t>
  </si>
  <si>
    <t xml:space="preserve">Transport &amp; other logistics</t>
  </si>
  <si>
    <t xml:space="preserve">TOTAL LOGISTICS COST (excl. SST)</t>
  </si>
  <si>
    <t xml:space="preserve">Logistics cost per m² of waterproofing (RM/m², Option A)</t>
  </si>
  <si>
    <t xml:space="preserve">Total treated area 3,335.84 m²</t>
  </si>
  <si>
    <t xml:space="preserve">1. Crane rates are indicative budget figures for Sarawak (2025/26) and vary with availability, distance from the crane yard (Bintulu / Miri / Sibu) and hire duration - obtain at least two quotations.</t>
  </si>
  <si>
    <t xml:space="preserve">2. Daily hire is normally the cheaper option here because only ~1-2 crane days per floor are needed; monthly hire is only worth considering if the crane is also used for other trades.</t>
  </si>
  <si>
    <t xml:space="preserve">3. SST, overtime beyond 8 hours, standby days due to weather and night work are excluded - add as applicable.</t>
  </si>
  <si>
    <t xml:space="preserve">4. Change the selected crane class in Section 2 and all costs update; change days / contingency on the 'Hoisting Programme' sheet.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</si>
</sst>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"/>
    <numFmt numFmtId="167" formatCode="#,##0"/>
    <numFmt numFmtId="168" formatCode="&quot;RM &quot;#,##0"/>
    <numFmt numFmtId="169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7" min="5" style="0" width="18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8.35" hidden="false" customHeight="false" outlineLevel="0" collapsed="false">
      <c r="A5" s="4" t="s">
        <v>3</v>
      </c>
      <c r="B5" s="5" t="n">
        <v>57</v>
      </c>
      <c r="C5" s="6" t="s">
        <v>4</v>
      </c>
      <c r="D5" s="6"/>
      <c r="E5" s="6"/>
      <c r="F5" s="6"/>
      <c r="G5" s="6"/>
      <c r="H5" s="6"/>
    </row>
    <row r="6" customFormat="false" ht="15" hidden="false" customHeight="false" outlineLevel="0" collapsed="false">
      <c r="A6" s="4" t="s">
        <v>5</v>
      </c>
      <c r="B6" s="5" t="n">
        <v>1.5</v>
      </c>
      <c r="C6" s="6" t="s">
        <v>6</v>
      </c>
      <c r="D6" s="6"/>
      <c r="E6" s="6"/>
      <c r="F6" s="6"/>
      <c r="G6" s="6"/>
      <c r="H6" s="6"/>
    </row>
    <row r="7" customFormat="false" ht="15" hidden="false" customHeight="false" outlineLevel="0" collapsed="false">
      <c r="A7" s="4" t="s">
        <v>7</v>
      </c>
      <c r="B7" s="5" t="n">
        <v>1.5</v>
      </c>
      <c r="C7" s="6" t="s">
        <v>8</v>
      </c>
      <c r="D7" s="6"/>
      <c r="E7" s="6"/>
      <c r="F7" s="6"/>
      <c r="G7" s="6"/>
      <c r="H7" s="6"/>
    </row>
    <row r="8" customFormat="false" ht="15" hidden="false" customHeight="false" outlineLevel="0" collapsed="false">
      <c r="A8" s="4" t="s">
        <v>9</v>
      </c>
      <c r="B8" s="5" t="n">
        <v>3</v>
      </c>
      <c r="C8" s="6" t="s">
        <v>10</v>
      </c>
      <c r="D8" s="6"/>
      <c r="E8" s="6"/>
      <c r="F8" s="6"/>
      <c r="G8" s="6"/>
      <c r="H8" s="6"/>
    </row>
    <row r="9" customFormat="false" ht="15" hidden="false" customHeight="false" outlineLevel="0" collapsed="false">
      <c r="A9" s="4" t="s">
        <v>11</v>
      </c>
      <c r="B9" s="5" t="n">
        <v>1</v>
      </c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4" t="s">
        <v>12</v>
      </c>
      <c r="B10" s="5" t="n">
        <v>1</v>
      </c>
      <c r="C10" s="6" t="s">
        <v>13</v>
      </c>
      <c r="D10" s="6"/>
      <c r="E10" s="6"/>
      <c r="F10" s="6"/>
      <c r="G10" s="6"/>
      <c r="H10" s="6"/>
    </row>
    <row r="11" customFormat="false" ht="15" hidden="false" customHeight="false" outlineLevel="0" collapsed="false">
      <c r="A11" s="4" t="s">
        <v>14</v>
      </c>
      <c r="B11" s="5" t="n">
        <v>1.25</v>
      </c>
      <c r="C11" s="6" t="s">
        <v>15</v>
      </c>
      <c r="D11" s="6"/>
      <c r="E11" s="6"/>
      <c r="F11" s="6"/>
      <c r="G11" s="6"/>
      <c r="H11" s="6"/>
    </row>
    <row r="13" customFormat="false" ht="15" hidden="false" customHeight="false" outlineLevel="0" collapsed="false">
      <c r="A13" s="3" t="s">
        <v>16</v>
      </c>
    </row>
    <row r="14" customFormat="false" ht="48" hidden="false" customHeight="true" outlineLevel="0" collapsed="false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21</v>
      </c>
      <c r="F14" s="7" t="s">
        <v>22</v>
      </c>
      <c r="G14" s="7" t="s">
        <v>23</v>
      </c>
      <c r="H14" s="7" t="s">
        <v>24</v>
      </c>
    </row>
    <row r="15" customFormat="false" ht="30" hidden="false" customHeight="true" outlineLevel="0" collapsed="false">
      <c r="A15" s="8" t="s">
        <v>25</v>
      </c>
      <c r="B15" s="9" t="n">
        <v>6</v>
      </c>
      <c r="C15" s="5" t="n">
        <v>49.8</v>
      </c>
      <c r="D15" s="10" t="s">
        <v>26</v>
      </c>
      <c r="E15" s="11" t="n">
        <f aca="false">B15+$B$7+$B$8+$B$9</f>
        <v>11.5</v>
      </c>
      <c r="F15" s="11" t="n">
        <f aca="false">$B$5-(C15-$B$6)</f>
        <v>8.7</v>
      </c>
      <c r="G15" s="12" t="n">
        <f aca="false">$B$10*$B$11</f>
        <v>1.25</v>
      </c>
      <c r="H15" s="10" t="s">
        <v>27</v>
      </c>
    </row>
    <row r="16" customFormat="false" ht="30" hidden="false" customHeight="true" outlineLevel="0" collapsed="false">
      <c r="A16" s="8" t="s">
        <v>28</v>
      </c>
      <c r="B16" s="9" t="n">
        <v>15</v>
      </c>
      <c r="C16" s="5" t="n">
        <v>38.52</v>
      </c>
      <c r="D16" s="10" t="s">
        <v>29</v>
      </c>
      <c r="E16" s="11" t="n">
        <f aca="false">B16+$B$7+$B$8+$B$9</f>
        <v>20.5</v>
      </c>
      <c r="F16" s="11" t="n">
        <f aca="false">$B$5-(C16-$B$6)</f>
        <v>19.98</v>
      </c>
      <c r="G16" s="12" t="n">
        <f aca="false">$B$10*$B$11</f>
        <v>1.25</v>
      </c>
      <c r="H16" s="10"/>
    </row>
    <row r="17" customFormat="false" ht="30" hidden="false" customHeight="true" outlineLevel="0" collapsed="false">
      <c r="A17" s="8" t="s">
        <v>30</v>
      </c>
      <c r="B17" s="9" t="n">
        <v>19.5</v>
      </c>
      <c r="C17" s="5" t="n">
        <v>32.75</v>
      </c>
      <c r="D17" s="10" t="s">
        <v>29</v>
      </c>
      <c r="E17" s="11" t="n">
        <f aca="false">B17+$B$7+$B$8+$B$9</f>
        <v>25</v>
      </c>
      <c r="F17" s="11" t="n">
        <f aca="false">$B$5-(C17-$B$6)</f>
        <v>25.75</v>
      </c>
      <c r="G17" s="12" t="n">
        <f aca="false">$B$10*$B$11</f>
        <v>1.25</v>
      </c>
      <c r="H17" s="10"/>
    </row>
    <row r="18" customFormat="false" ht="30" hidden="false" customHeight="true" outlineLevel="0" collapsed="false">
      <c r="A18" s="8" t="s">
        <v>31</v>
      </c>
      <c r="B18" s="9" t="n">
        <v>24</v>
      </c>
      <c r="C18" s="5" t="n">
        <v>26.35</v>
      </c>
      <c r="D18" s="10" t="s">
        <v>29</v>
      </c>
      <c r="E18" s="11" t="n">
        <f aca="false">B18+$B$7+$B$8+$B$9</f>
        <v>29.5</v>
      </c>
      <c r="F18" s="11" t="n">
        <f aca="false">$B$5-(C18-$B$6)</f>
        <v>32.15</v>
      </c>
      <c r="G18" s="12" t="n">
        <f aca="false">$B$10*$B$11</f>
        <v>1.25</v>
      </c>
      <c r="H18" s="10"/>
    </row>
    <row r="19" customFormat="false" ht="30" hidden="false" customHeight="true" outlineLevel="0" collapsed="false">
      <c r="A19" s="8" t="s">
        <v>32</v>
      </c>
      <c r="B19" s="9" t="n">
        <v>28.5</v>
      </c>
      <c r="C19" s="5" t="n">
        <v>20.4</v>
      </c>
      <c r="D19" s="10" t="s">
        <v>29</v>
      </c>
      <c r="E19" s="11" t="n">
        <f aca="false">B19+$B$7+$B$8+$B$9</f>
        <v>34</v>
      </c>
      <c r="F19" s="11" t="n">
        <f aca="false">$B$5-(C19-$B$6)</f>
        <v>38.1</v>
      </c>
      <c r="G19" s="12" t="n">
        <f aca="false">$B$10*$B$11</f>
        <v>1.25</v>
      </c>
      <c r="H19" s="10" t="s">
        <v>33</v>
      </c>
    </row>
    <row r="20" customFormat="false" ht="15" hidden="false" customHeight="false" outlineLevel="0" collapsed="false">
      <c r="A20" s="13" t="s">
        <v>34</v>
      </c>
      <c r="B20" s="14"/>
      <c r="C20" s="14"/>
      <c r="D20" s="14"/>
      <c r="E20" s="15" t="n">
        <f aca="false">MAX(E15:E19)</f>
        <v>34</v>
      </c>
      <c r="F20" s="15" t="n">
        <f aca="false">MAX(F15:F19)</f>
        <v>38.1</v>
      </c>
      <c r="G20" s="16" t="n">
        <f aca="false">MAX(G15:G19)</f>
        <v>1.25</v>
      </c>
      <c r="H20" s="14"/>
    </row>
    <row r="22" customFormat="false" ht="15" hidden="false" customHeight="false" outlineLevel="0" collapsed="false">
      <c r="A22" s="3" t="s">
        <v>35</v>
      </c>
    </row>
    <row r="23" customFormat="false" ht="51.75" hidden="false" customHeight="true" outlineLevel="0" collapsed="false">
      <c r="A23" s="7" t="s">
        <v>36</v>
      </c>
      <c r="B23" s="7" t="s">
        <v>37</v>
      </c>
      <c r="C23" s="7" t="s">
        <v>38</v>
      </c>
      <c r="D23" s="7" t="s">
        <v>39</v>
      </c>
      <c r="E23" s="7" t="s">
        <v>40</v>
      </c>
      <c r="F23" s="7" t="s">
        <v>41</v>
      </c>
      <c r="G23" s="7" t="s">
        <v>42</v>
      </c>
      <c r="H23" s="7" t="s">
        <v>43</v>
      </c>
    </row>
    <row r="24" customFormat="false" ht="33.75" hidden="false" customHeight="true" outlineLevel="0" collapsed="false">
      <c r="A24" s="8" t="s">
        <v>44</v>
      </c>
      <c r="B24" s="4" t="s">
        <v>45</v>
      </c>
      <c r="C24" s="17" t="n">
        <v>40</v>
      </c>
      <c r="D24" s="9" t="n">
        <v>27</v>
      </c>
      <c r="E24" s="9" t="n">
        <v>0.9</v>
      </c>
      <c r="F24" s="12" t="str">
        <f aca="false">IF(D24&gt;=$F$20,"YES","NO")</f>
        <v>NO</v>
      </c>
      <c r="G24" s="12" t="str">
        <f aca="false">IF(E24&gt;=$G$20,"YES","NO")</f>
        <v>NO</v>
      </c>
      <c r="H24" s="10" t="s">
        <v>46</v>
      </c>
    </row>
    <row r="25" customFormat="false" ht="33.75" hidden="false" customHeight="true" outlineLevel="0" collapsed="false">
      <c r="A25" s="8" t="s">
        <v>47</v>
      </c>
      <c r="B25" s="4" t="s">
        <v>48</v>
      </c>
      <c r="C25" s="17" t="n">
        <v>50</v>
      </c>
      <c r="D25" s="9" t="n">
        <v>34</v>
      </c>
      <c r="E25" s="9" t="n">
        <v>1.1</v>
      </c>
      <c r="F25" s="12" t="str">
        <f aca="false">IF(D25&gt;=$F$20,"YES","NO")</f>
        <v>NO</v>
      </c>
      <c r="G25" s="12" t="str">
        <f aca="false">IF(E25&gt;=$G$20,"YES","NO")</f>
        <v>NO</v>
      </c>
      <c r="H25" s="10" t="s">
        <v>49</v>
      </c>
    </row>
    <row r="26" customFormat="false" ht="33.75" hidden="false" customHeight="true" outlineLevel="0" collapsed="false">
      <c r="A26" s="8" t="s">
        <v>50</v>
      </c>
      <c r="B26" s="4" t="s">
        <v>48</v>
      </c>
      <c r="C26" s="17" t="n">
        <v>60</v>
      </c>
      <c r="D26" s="9" t="n">
        <v>42</v>
      </c>
      <c r="E26" s="9" t="n">
        <v>2.3</v>
      </c>
      <c r="F26" s="12" t="str">
        <f aca="false">IF(D26&gt;=$F$20,"YES","NO")</f>
        <v>YES</v>
      </c>
      <c r="G26" s="12" t="str">
        <f aca="false">IF(E26&gt;=$G$20,"YES","NO")</f>
        <v>YES</v>
      </c>
      <c r="H26" s="10" t="s">
        <v>51</v>
      </c>
    </row>
    <row r="27" customFormat="false" ht="33.75" hidden="false" customHeight="true" outlineLevel="0" collapsed="false">
      <c r="A27" s="8" t="s">
        <v>52</v>
      </c>
      <c r="B27" s="4" t="s">
        <v>48</v>
      </c>
      <c r="C27" s="17" t="n">
        <v>60</v>
      </c>
      <c r="D27" s="9" t="n">
        <v>46</v>
      </c>
      <c r="E27" s="9" t="n">
        <v>3.2</v>
      </c>
      <c r="F27" s="12" t="str">
        <f aca="false">IF(D27&gt;=$F$20,"YES","NO")</f>
        <v>YES</v>
      </c>
      <c r="G27" s="12" t="str">
        <f aca="false">IF(E27&gt;=$G$20,"YES","NO")</f>
        <v>YES</v>
      </c>
      <c r="H27" s="10" t="s">
        <v>53</v>
      </c>
    </row>
    <row r="28" customFormat="false" ht="33.75" hidden="false" customHeight="true" outlineLevel="0" collapsed="false">
      <c r="A28" s="8" t="s">
        <v>54</v>
      </c>
      <c r="B28" s="4" t="s">
        <v>48</v>
      </c>
      <c r="C28" s="17" t="n">
        <v>72</v>
      </c>
      <c r="D28" s="9" t="n">
        <v>55</v>
      </c>
      <c r="E28" s="9" t="n">
        <v>4</v>
      </c>
      <c r="F28" s="12" t="str">
        <f aca="false">IF(D28&gt;=$F$20,"YES","NO")</f>
        <v>YES</v>
      </c>
      <c r="G28" s="12" t="str">
        <f aca="false">IF(E28&gt;=$G$20,"YES","NO")</f>
        <v>YES</v>
      </c>
      <c r="H28" s="10" t="s">
        <v>55</v>
      </c>
    </row>
    <row r="30" customFormat="false" ht="15.75" hidden="false" customHeight="true" outlineLevel="0" collapsed="false">
      <c r="A30" s="18" t="s">
        <v>56</v>
      </c>
      <c r="B30" s="18"/>
      <c r="C30" s="18"/>
      <c r="D30" s="18"/>
      <c r="E30" s="18"/>
      <c r="F30" s="18"/>
      <c r="G30" s="18"/>
      <c r="H30" s="18"/>
    </row>
    <row r="31" customFormat="false" ht="43.5" hidden="false" customHeight="true" outlineLevel="0" collapsed="false">
      <c r="A31" s="19" t="s">
        <v>57</v>
      </c>
      <c r="B31" s="19"/>
      <c r="C31" s="19"/>
      <c r="D31" s="19"/>
      <c r="E31" s="19"/>
      <c r="F31" s="19"/>
      <c r="G31" s="19"/>
      <c r="H31" s="19"/>
    </row>
    <row r="32" customFormat="false" ht="43.5" hidden="false" customHeight="true" outlineLevel="0" collapsed="false">
      <c r="A32" s="19" t="s">
        <v>58</v>
      </c>
      <c r="B32" s="19"/>
      <c r="C32" s="19"/>
      <c r="D32" s="19"/>
      <c r="E32" s="19"/>
      <c r="F32" s="19"/>
      <c r="G32" s="19"/>
      <c r="H32" s="19"/>
    </row>
    <row r="33" customFormat="false" ht="43.5" hidden="false" customHeight="true" outlineLevel="0" collapsed="false">
      <c r="A33" s="19" t="s">
        <v>59</v>
      </c>
      <c r="B33" s="19"/>
      <c r="C33" s="19"/>
      <c r="D33" s="19"/>
      <c r="E33" s="19"/>
      <c r="F33" s="19"/>
      <c r="G33" s="19"/>
      <c r="H33" s="19"/>
    </row>
    <row r="34" customFormat="false" ht="43.5" hidden="false" customHeight="true" outlineLevel="0" collapsed="false">
      <c r="A34" s="19" t="s">
        <v>60</v>
      </c>
      <c r="B34" s="19"/>
      <c r="C34" s="19"/>
      <c r="D34" s="19"/>
      <c r="E34" s="19"/>
      <c r="F34" s="19"/>
      <c r="G34" s="19"/>
      <c r="H34" s="19"/>
    </row>
  </sheetData>
  <mergeCells count="12">
    <mergeCell ref="C5:H5"/>
    <mergeCell ref="C6:H6"/>
    <mergeCell ref="C7:H7"/>
    <mergeCell ref="C8:H8"/>
    <mergeCell ref="C9:H9"/>
    <mergeCell ref="C10:H10"/>
    <mergeCell ref="C11:H11"/>
    <mergeCell ref="A30:H30"/>
    <mergeCell ref="A31:H31"/>
    <mergeCell ref="A32:H32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14"/>
    <col collapsed="false" customWidth="true" hidden="false" outlineLevel="0" max="13" min="12" style="0" width="11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</row>
    <row r="5" customFormat="false" ht="15" hidden="false" customHeight="false" outlineLevel="0" collapsed="false">
      <c r="A5" s="4" t="s">
        <v>64</v>
      </c>
      <c r="B5" s="5" t="n">
        <v>0.85</v>
      </c>
      <c r="C5" s="6" t="s">
        <v>65</v>
      </c>
      <c r="D5" s="6"/>
      <c r="E5" s="6"/>
      <c r="F5" s="6"/>
      <c r="G5" s="6"/>
      <c r="H5" s="6"/>
      <c r="I5" s="6"/>
    </row>
    <row r="6" customFormat="false" ht="28.35" hidden="false" customHeight="false" outlineLevel="0" collapsed="false">
      <c r="A6" s="4" t="s">
        <v>66</v>
      </c>
      <c r="B6" s="17" t="n">
        <v>7</v>
      </c>
      <c r="C6" s="6" t="s">
        <v>67</v>
      </c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A7" s="4" t="s">
        <v>68</v>
      </c>
      <c r="B7" s="17" t="n">
        <v>7</v>
      </c>
      <c r="C7" s="6" t="s">
        <v>69</v>
      </c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A8" s="4" t="s">
        <v>70</v>
      </c>
      <c r="B8" s="17" t="n">
        <v>2</v>
      </c>
      <c r="C8" s="6" t="s">
        <v>71</v>
      </c>
      <c r="D8" s="6"/>
      <c r="E8" s="6"/>
      <c r="F8" s="6"/>
      <c r="G8" s="6"/>
      <c r="H8" s="6"/>
      <c r="I8" s="6"/>
    </row>
    <row r="9" customFormat="false" ht="15" hidden="false" customHeight="false" outlineLevel="0" collapsed="false">
      <c r="A9" s="4" t="s">
        <v>72</v>
      </c>
      <c r="B9" s="5" t="n">
        <v>1</v>
      </c>
      <c r="C9" s="6" t="s">
        <v>73</v>
      </c>
      <c r="D9" s="6"/>
      <c r="E9" s="6"/>
      <c r="F9" s="6"/>
      <c r="G9" s="6"/>
      <c r="H9" s="6"/>
      <c r="I9" s="6"/>
    </row>
    <row r="10" customFormat="false" ht="15" hidden="false" customHeight="false" outlineLevel="0" collapsed="false">
      <c r="A10" s="4" t="s">
        <v>74</v>
      </c>
      <c r="B10" s="5" t="n">
        <v>0.03</v>
      </c>
      <c r="C10" s="6" t="s">
        <v>75</v>
      </c>
      <c r="D10" s="6"/>
      <c r="E10" s="6"/>
      <c r="F10" s="6"/>
      <c r="G10" s="6"/>
      <c r="H10" s="6"/>
      <c r="I10" s="6"/>
    </row>
    <row r="11" customFormat="false" ht="15" hidden="false" customHeight="false" outlineLevel="0" collapsed="false">
      <c r="A11" s="4" t="s">
        <v>76</v>
      </c>
      <c r="B11" s="5" t="n">
        <v>2</v>
      </c>
      <c r="C11" s="6" t="s">
        <v>77</v>
      </c>
      <c r="D11" s="6"/>
      <c r="E11" s="6"/>
      <c r="F11" s="6"/>
      <c r="G11" s="6"/>
      <c r="H11" s="6"/>
      <c r="I11" s="6"/>
    </row>
    <row r="12" customFormat="false" ht="15" hidden="false" customHeight="false" outlineLevel="0" collapsed="false">
      <c r="A12" s="4" t="s">
        <v>78</v>
      </c>
      <c r="B12" s="5" t="n">
        <v>0.005</v>
      </c>
      <c r="C12" s="6" t="s">
        <v>79</v>
      </c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A13" s="4" t="s">
        <v>80</v>
      </c>
      <c r="B13" s="17" t="n">
        <v>6</v>
      </c>
      <c r="C13" s="6" t="s">
        <v>81</v>
      </c>
      <c r="D13" s="6"/>
      <c r="E13" s="6"/>
      <c r="F13" s="6"/>
      <c r="G13" s="6"/>
      <c r="H13" s="6"/>
      <c r="I13" s="6"/>
    </row>
    <row r="15" customFormat="false" ht="15" hidden="false" customHeight="false" outlineLevel="0" collapsed="false">
      <c r="A15" s="3" t="s">
        <v>82</v>
      </c>
    </row>
    <row r="16" customFormat="false" ht="45.75" hidden="false" customHeight="true" outlineLevel="0" collapsed="false">
      <c r="A16" s="7" t="s">
        <v>83</v>
      </c>
      <c r="B16" s="7" t="s">
        <v>84</v>
      </c>
      <c r="C16" s="7" t="s">
        <v>85</v>
      </c>
      <c r="D16" s="7" t="s">
        <v>86</v>
      </c>
      <c r="E16" s="7" t="s">
        <v>87</v>
      </c>
      <c r="F16" s="7" t="s">
        <v>88</v>
      </c>
      <c r="G16" s="7" t="s">
        <v>89</v>
      </c>
      <c r="H16" s="7" t="s">
        <v>90</v>
      </c>
      <c r="I16" s="7" t="s">
        <v>91</v>
      </c>
      <c r="J16" s="7" t="s">
        <v>92</v>
      </c>
      <c r="K16" s="7" t="s">
        <v>93</v>
      </c>
      <c r="L16" s="7" t="s">
        <v>94</v>
      </c>
      <c r="M16" s="7" t="s">
        <v>95</v>
      </c>
    </row>
    <row r="17" customFormat="false" ht="21.75" hidden="false" customHeight="true" outlineLevel="0" collapsed="false">
      <c r="A17" s="8" t="s">
        <v>96</v>
      </c>
      <c r="B17" s="5" t="n">
        <v>0</v>
      </c>
      <c r="C17" s="5" t="n">
        <v>309.84</v>
      </c>
      <c r="D17" s="5" t="n">
        <v>1.64525</v>
      </c>
      <c r="E17" s="5" t="n">
        <v>0</v>
      </c>
      <c r="F17" s="5" t="n">
        <v>0</v>
      </c>
      <c r="G17" s="5" t="n">
        <v>0.118</v>
      </c>
      <c r="H17" s="12" t="n">
        <f aca="false">B17*$B$10*$B$11</f>
        <v>0</v>
      </c>
      <c r="I17" s="12" t="n">
        <f aca="false">(B17+C17)*$B$12</f>
        <v>1.5492</v>
      </c>
      <c r="J17" s="20" t="n">
        <f aca="false">SUM(D17:H17)</f>
        <v>1.76325</v>
      </c>
      <c r="K17" s="21" t="n">
        <f aca="false">ROUNDUP(J17/$B$5,0)+ROUNDUP(I17/$B$5,0)+$B$13</f>
        <v>11</v>
      </c>
      <c r="L17" s="11" t="n">
        <f aca="false">K17/$B$6+$B$8*$B$9</f>
        <v>3.57142857142857</v>
      </c>
      <c r="M17" s="22" t="n">
        <f aca="false">L17/$B$7</f>
        <v>0.510204081632653</v>
      </c>
    </row>
    <row r="18" customFormat="false" ht="21.75" hidden="false" customHeight="true" outlineLevel="0" collapsed="false">
      <c r="A18" s="8" t="s">
        <v>28</v>
      </c>
      <c r="B18" s="5" t="n">
        <v>960.85</v>
      </c>
      <c r="C18" s="5" t="n">
        <v>110.49</v>
      </c>
      <c r="D18" s="5" t="n">
        <v>0.5867</v>
      </c>
      <c r="E18" s="5" t="n">
        <v>0.22676</v>
      </c>
      <c r="F18" s="5" t="n">
        <v>2.38099</v>
      </c>
      <c r="G18" s="5" t="n">
        <v>0.236</v>
      </c>
      <c r="H18" s="12" t="n">
        <f aca="false">B18*$B$10*$B$11</f>
        <v>57.651</v>
      </c>
      <c r="I18" s="12" t="n">
        <f aca="false">(B18+C18)*$B$12</f>
        <v>5.3567</v>
      </c>
      <c r="J18" s="20" t="n">
        <f aca="false">SUM(D18:H18)</f>
        <v>61.08145</v>
      </c>
      <c r="K18" s="21" t="n">
        <f aca="false">ROUNDUP(J18/$B$5,0)+ROUNDUP(I18/$B$5,0)+$B$13</f>
        <v>85</v>
      </c>
      <c r="L18" s="11" t="n">
        <f aca="false">K18/$B$6+$B$8*$B$9</f>
        <v>14.1428571428571</v>
      </c>
      <c r="M18" s="22" t="n">
        <f aca="false">L18/$B$7</f>
        <v>2.02040816326531</v>
      </c>
    </row>
    <row r="19" customFormat="false" ht="21.75" hidden="false" customHeight="true" outlineLevel="0" collapsed="false">
      <c r="A19" s="8" t="s">
        <v>30</v>
      </c>
      <c r="B19" s="5" t="n">
        <v>793.02</v>
      </c>
      <c r="C19" s="5" t="n">
        <v>96.79</v>
      </c>
      <c r="D19" s="5" t="n">
        <v>0.51395</v>
      </c>
      <c r="E19" s="5" t="n">
        <v>0.18715</v>
      </c>
      <c r="F19" s="5" t="n">
        <v>1.9651</v>
      </c>
      <c r="G19" s="5" t="n">
        <v>0.195</v>
      </c>
      <c r="H19" s="12" t="n">
        <f aca="false">B19*$B$10*$B$11</f>
        <v>47.5812</v>
      </c>
      <c r="I19" s="12" t="n">
        <f aca="false">(B19+C19)*$B$12</f>
        <v>4.44905</v>
      </c>
      <c r="J19" s="20" t="n">
        <f aca="false">SUM(D19:H19)</f>
        <v>50.4424</v>
      </c>
      <c r="K19" s="21" t="n">
        <f aca="false">ROUNDUP(J19/$B$5,0)+ROUNDUP(I19/$B$5,0)+$B$13</f>
        <v>72</v>
      </c>
      <c r="L19" s="11" t="n">
        <f aca="false">K19/$B$6+$B$8*$B$9</f>
        <v>12.2857142857143</v>
      </c>
      <c r="M19" s="22" t="n">
        <f aca="false">L19/$B$7</f>
        <v>1.75510204081633</v>
      </c>
    </row>
    <row r="20" customFormat="false" ht="21.75" hidden="false" customHeight="true" outlineLevel="0" collapsed="false">
      <c r="A20" s="8" t="s">
        <v>31</v>
      </c>
      <c r="B20" s="5" t="n">
        <v>553.47</v>
      </c>
      <c r="C20" s="5" t="n">
        <v>72.02</v>
      </c>
      <c r="D20" s="5" t="n">
        <v>0.38243</v>
      </c>
      <c r="E20" s="5" t="n">
        <v>0.13062</v>
      </c>
      <c r="F20" s="5" t="n">
        <v>1.3715</v>
      </c>
      <c r="G20" s="5" t="n">
        <v>0.136</v>
      </c>
      <c r="H20" s="12" t="n">
        <f aca="false">B20*$B$10*$B$11</f>
        <v>33.2082</v>
      </c>
      <c r="I20" s="12" t="n">
        <f aca="false">(B20+C20)*$B$12</f>
        <v>3.12745</v>
      </c>
      <c r="J20" s="20" t="n">
        <f aca="false">SUM(D20:H20)</f>
        <v>35.22875</v>
      </c>
      <c r="K20" s="21" t="n">
        <f aca="false">ROUNDUP(J20/$B$5,0)+ROUNDUP(I20/$B$5,0)+$B$13</f>
        <v>52</v>
      </c>
      <c r="L20" s="11" t="n">
        <f aca="false">K20/$B$6+$B$8*$B$9</f>
        <v>9.42857142857143</v>
      </c>
      <c r="M20" s="22" t="n">
        <f aca="false">L20/$B$7</f>
        <v>1.3469387755102</v>
      </c>
    </row>
    <row r="21" customFormat="false" ht="21.75" hidden="false" customHeight="true" outlineLevel="0" collapsed="false">
      <c r="A21" s="8" t="s">
        <v>32</v>
      </c>
      <c r="B21" s="5" t="n">
        <v>380.76</v>
      </c>
      <c r="C21" s="5" t="n">
        <v>58.6</v>
      </c>
      <c r="D21" s="5" t="n">
        <v>0.31117</v>
      </c>
      <c r="E21" s="5" t="n">
        <v>0.08986</v>
      </c>
      <c r="F21" s="5" t="n">
        <v>0.94352</v>
      </c>
      <c r="G21" s="5" t="n">
        <v>0.094</v>
      </c>
      <c r="H21" s="12" t="n">
        <f aca="false">B21*$B$10*$B$11</f>
        <v>22.8456</v>
      </c>
      <c r="I21" s="12" t="n">
        <f aca="false">(B21+C21)*$B$12</f>
        <v>2.1968</v>
      </c>
      <c r="J21" s="20" t="n">
        <f aca="false">SUM(D21:H21)</f>
        <v>24.28415</v>
      </c>
      <c r="K21" s="21" t="n">
        <f aca="false">ROUNDUP(J21/$B$5,0)+ROUNDUP(I21/$B$5,0)+$B$13</f>
        <v>38</v>
      </c>
      <c r="L21" s="11" t="n">
        <f aca="false">K21/$B$6+$B$8*$B$9</f>
        <v>7.42857142857143</v>
      </c>
      <c r="M21" s="22" t="n">
        <f aca="false">L21/$B$7</f>
        <v>1.06122448979592</v>
      </c>
    </row>
    <row r="22" customFormat="false" ht="15" hidden="false" customHeight="false" outlineLevel="0" collapsed="false">
      <c r="A22" s="13" t="s">
        <v>97</v>
      </c>
      <c r="B22" s="16" t="n">
        <f aca="false">SUM(B17:B21)</f>
        <v>2688.1</v>
      </c>
      <c r="C22" s="16" t="n">
        <f aca="false">SUM(C17:C21)</f>
        <v>647.74</v>
      </c>
      <c r="D22" s="16" t="n">
        <f aca="false">SUM(D17:D21)</f>
        <v>3.4395</v>
      </c>
      <c r="E22" s="16" t="n">
        <f aca="false">SUM(E17:E21)</f>
        <v>0.63439</v>
      </c>
      <c r="F22" s="16" t="n">
        <f aca="false">SUM(F17:F21)</f>
        <v>6.66111</v>
      </c>
      <c r="G22" s="16" t="n">
        <f aca="false">SUM(G17:G21)</f>
        <v>0.779</v>
      </c>
      <c r="H22" s="16" t="n">
        <f aca="false">SUM(H17:H21)</f>
        <v>161.286</v>
      </c>
      <c r="I22" s="16" t="n">
        <f aca="false">SUM(I17:I21)</f>
        <v>16.6792</v>
      </c>
      <c r="J22" s="16" t="n">
        <f aca="false">SUM(J17:J21)</f>
        <v>172.8</v>
      </c>
      <c r="K22" s="23" t="n">
        <f aca="false">SUM(K17:K21)</f>
        <v>258</v>
      </c>
      <c r="L22" s="15" t="n">
        <f aca="false">SUM(L17:L21)</f>
        <v>46.8571428571429</v>
      </c>
      <c r="M22" s="15" t="n">
        <f aca="false">SUM(M17:M21)</f>
        <v>6.69387755102041</v>
      </c>
    </row>
    <row r="23" customFormat="false" ht="15" hidden="false" customHeight="false" outlineLevel="0" collapsed="false">
      <c r="A23" s="24" t="s">
        <v>98</v>
      </c>
      <c r="M23" s="25" t="n">
        <f aca="false">ROUNDUP(M22,0)</f>
        <v>7</v>
      </c>
    </row>
    <row r="24" customFormat="false" ht="15" hidden="false" customHeight="false" outlineLevel="0" collapsed="false">
      <c r="A24" s="24" t="s">
        <v>99</v>
      </c>
      <c r="M24" s="26" t="n">
        <v>2</v>
      </c>
    </row>
    <row r="25" customFormat="false" ht="15" hidden="false" customHeight="false" outlineLevel="0" collapsed="false">
      <c r="A25" s="24" t="s">
        <v>100</v>
      </c>
      <c r="M25" s="25" t="n">
        <f aca="false">M23+M24</f>
        <v>9</v>
      </c>
    </row>
    <row r="27" customFormat="false" ht="15" hidden="false" customHeight="false" outlineLevel="0" collapsed="false">
      <c r="A27" s="27" t="s">
        <v>101</v>
      </c>
    </row>
    <row r="28" customFormat="false" ht="15" hidden="false" customHeight="false" outlineLevel="0" collapsed="false">
      <c r="A28" s="28" t="s">
        <v>102</v>
      </c>
    </row>
    <row r="29" customFormat="false" ht="15" hidden="false" customHeight="false" outlineLevel="0" collapsed="false">
      <c r="A29" s="28" t="s">
        <v>103</v>
      </c>
    </row>
    <row r="30" customFormat="false" ht="15" hidden="false" customHeight="false" outlineLevel="0" collapsed="false">
      <c r="A30" s="28" t="s">
        <v>104</v>
      </c>
    </row>
  </sheetData>
  <mergeCells count="9">
    <mergeCell ref="C5:I5"/>
    <mergeCell ref="C6:I6"/>
    <mergeCell ref="C7:I7"/>
    <mergeCell ref="C8:I8"/>
    <mergeCell ref="C9:I9"/>
    <mergeCell ref="C10:I10"/>
    <mergeCell ref="C11:I11"/>
    <mergeCell ref="C12:I12"/>
    <mergeCell ref="C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3" t="s">
        <v>107</v>
      </c>
    </row>
    <row r="5" customFormat="false" ht="39.75" hidden="false" customHeight="true" outlineLevel="0" collapsed="false">
      <c r="A5" s="7" t="s">
        <v>36</v>
      </c>
      <c r="B5" s="7" t="s">
        <v>108</v>
      </c>
      <c r="C5" s="7" t="s">
        <v>109</v>
      </c>
      <c r="D5" s="7" t="s">
        <v>110</v>
      </c>
      <c r="E5" s="7" t="s">
        <v>111</v>
      </c>
      <c r="F5" s="7" t="s">
        <v>24</v>
      </c>
    </row>
    <row r="6" customFormat="false" ht="15" hidden="false" customHeight="false" outlineLevel="0" collapsed="false">
      <c r="A6" s="8" t="s">
        <v>44</v>
      </c>
      <c r="B6" s="29" t="n">
        <v>2800</v>
      </c>
      <c r="C6" s="29" t="n">
        <v>48000</v>
      </c>
      <c r="D6" s="29" t="n">
        <v>4000</v>
      </c>
      <c r="E6" s="29" t="n">
        <v>150</v>
      </c>
      <c r="F6" s="10" t="s">
        <v>112</v>
      </c>
    </row>
    <row r="7" customFormat="false" ht="15" hidden="false" customHeight="false" outlineLevel="0" collapsed="false">
      <c r="A7" s="8" t="s">
        <v>47</v>
      </c>
      <c r="B7" s="29" t="n">
        <v>4200</v>
      </c>
      <c r="C7" s="29" t="n">
        <v>70000</v>
      </c>
      <c r="D7" s="29" t="n">
        <v>6000</v>
      </c>
      <c r="E7" s="29" t="n">
        <v>150</v>
      </c>
      <c r="F7" s="10" t="s">
        <v>113</v>
      </c>
    </row>
    <row r="8" customFormat="false" ht="15" hidden="false" customHeight="false" outlineLevel="0" collapsed="false">
      <c r="A8" s="8" t="s">
        <v>50</v>
      </c>
      <c r="B8" s="29" t="n">
        <v>5800</v>
      </c>
      <c r="C8" s="29" t="n">
        <v>92000</v>
      </c>
      <c r="D8" s="29" t="n">
        <v>8000</v>
      </c>
      <c r="E8" s="29" t="n">
        <v>150</v>
      </c>
      <c r="F8" s="10" t="s">
        <v>114</v>
      </c>
    </row>
    <row r="9" customFormat="false" ht="15" hidden="false" customHeight="false" outlineLevel="0" collapsed="false">
      <c r="A9" s="8" t="s">
        <v>52</v>
      </c>
      <c r="B9" s="29" t="n">
        <v>7500</v>
      </c>
      <c r="C9" s="29" t="n">
        <v>118000</v>
      </c>
      <c r="D9" s="29" t="n">
        <v>10000</v>
      </c>
      <c r="E9" s="29" t="n">
        <v>150</v>
      </c>
      <c r="F9" s="10" t="s">
        <v>115</v>
      </c>
    </row>
    <row r="10" customFormat="false" ht="15" hidden="false" customHeight="false" outlineLevel="0" collapsed="false">
      <c r="A10" s="8" t="s">
        <v>54</v>
      </c>
      <c r="B10" s="29" t="n">
        <v>13000</v>
      </c>
      <c r="C10" s="29" t="n">
        <v>200000</v>
      </c>
      <c r="D10" s="29" t="n">
        <v>20000</v>
      </c>
      <c r="E10" s="29" t="n">
        <v>200</v>
      </c>
      <c r="F10" s="10" t="s">
        <v>116</v>
      </c>
    </row>
    <row r="12" customFormat="false" ht="15" hidden="false" customHeight="false" outlineLevel="0" collapsed="false">
      <c r="A12" s="3" t="s">
        <v>117</v>
      </c>
    </row>
    <row r="13" customFormat="false" ht="15" hidden="false" customHeight="false" outlineLevel="0" collapsed="false">
      <c r="A13" s="4" t="s">
        <v>118</v>
      </c>
      <c r="B13" s="30" t="s">
        <v>50</v>
      </c>
      <c r="C13" s="2" t="s">
        <v>119</v>
      </c>
    </row>
    <row r="14" customFormat="false" ht="15" hidden="false" customHeight="false" outlineLevel="0" collapsed="false">
      <c r="A14" s="4" t="s">
        <v>120</v>
      </c>
      <c r="B14" s="21" t="n">
        <f aca="false">'Hoisting Programme'!$M$25</f>
        <v>9</v>
      </c>
    </row>
    <row r="15" customFormat="false" ht="15" hidden="false" customHeight="false" outlineLevel="0" collapsed="false">
      <c r="A15" s="4" t="s">
        <v>121</v>
      </c>
      <c r="B15" s="17" t="n">
        <v>5</v>
      </c>
      <c r="C15" s="2" t="s">
        <v>122</v>
      </c>
    </row>
    <row r="16" customFormat="false" ht="15" hidden="false" customHeight="false" outlineLevel="0" collapsed="false">
      <c r="A16" s="4" t="s">
        <v>123</v>
      </c>
      <c r="B16" s="17" t="n">
        <v>1</v>
      </c>
    </row>
    <row r="17" customFormat="false" ht="15" hidden="false" customHeight="false" outlineLevel="0" collapsed="false">
      <c r="A17" s="4" t="s">
        <v>124</v>
      </c>
      <c r="B17" s="31" t="n">
        <f aca="false">INDEX($B$6:$B$10,MATCH($B$13,$A$6:$A$10,0))</f>
        <v>5800</v>
      </c>
    </row>
    <row r="18" customFormat="false" ht="15" hidden="false" customHeight="false" outlineLevel="0" collapsed="false">
      <c r="A18" s="4" t="s">
        <v>125</v>
      </c>
      <c r="B18" s="31" t="n">
        <f aca="false">INDEX($C$6:$C$10,MATCH($B$13,$A$6:$A$10,0))</f>
        <v>92000</v>
      </c>
    </row>
    <row r="19" customFormat="false" ht="15" hidden="false" customHeight="false" outlineLevel="0" collapsed="false">
      <c r="A19" s="4" t="s">
        <v>126</v>
      </c>
      <c r="B19" s="31" t="n">
        <f aca="false">INDEX($D$6:$D$10,MATCH($B$13,$A$6:$A$10,0))</f>
        <v>8000</v>
      </c>
    </row>
    <row r="20" customFormat="false" ht="15" hidden="false" customHeight="false" outlineLevel="0" collapsed="false">
      <c r="A20" s="4" t="s">
        <v>127</v>
      </c>
      <c r="B20" s="31" t="n">
        <f aca="false">INDEX($E$6:$E$10,MATCH($B$13,$A$6:$A$10,0))</f>
        <v>150</v>
      </c>
    </row>
    <row r="22" customFormat="false" ht="15" hidden="false" customHeight="false" outlineLevel="0" collapsed="false">
      <c r="A22" s="3" t="s">
        <v>128</v>
      </c>
    </row>
    <row r="23" customFormat="false" ht="30" hidden="false" customHeight="true" outlineLevel="0" collapsed="false">
      <c r="A23" s="7" t="s">
        <v>129</v>
      </c>
      <c r="B23" s="7" t="s">
        <v>130</v>
      </c>
      <c r="C23" s="7" t="s">
        <v>131</v>
      </c>
      <c r="D23" s="7" t="s">
        <v>132</v>
      </c>
    </row>
    <row r="24" customFormat="false" ht="22.35" hidden="false" customHeight="false" outlineLevel="0" collapsed="false">
      <c r="A24" s="4" t="s">
        <v>133</v>
      </c>
      <c r="B24" s="31" t="n">
        <f aca="false">$B$14*$B$17</f>
        <v>52200</v>
      </c>
      <c r="C24" s="31" t="n">
        <f aca="false">$B$16*$B$18</f>
        <v>92000</v>
      </c>
      <c r="D24" s="10" t="s">
        <v>134</v>
      </c>
    </row>
    <row r="25" customFormat="false" ht="15" hidden="false" customHeight="false" outlineLevel="0" collapsed="false">
      <c r="A25" s="4" t="s">
        <v>135</v>
      </c>
      <c r="B25" s="31" t="n">
        <f aca="false">$B$15*$B$19</f>
        <v>40000</v>
      </c>
      <c r="C25" s="31" t="n">
        <f aca="false">$B$19</f>
        <v>8000</v>
      </c>
      <c r="D25" s="10" t="s">
        <v>136</v>
      </c>
    </row>
    <row r="26" customFormat="false" ht="15" hidden="false" customHeight="false" outlineLevel="0" collapsed="false">
      <c r="A26" s="4" t="s">
        <v>137</v>
      </c>
      <c r="B26" s="31" t="n">
        <f aca="false">2*$B$14*$B$20</f>
        <v>2700</v>
      </c>
      <c r="C26" s="31" t="n">
        <f aca="false">2*$B$16*26*$B$20</f>
        <v>7800</v>
      </c>
      <c r="D26" s="10" t="s">
        <v>138</v>
      </c>
    </row>
    <row r="27" customFormat="false" ht="32.8" hidden="false" customHeight="false" outlineLevel="0" collapsed="false">
      <c r="A27" s="4" t="s">
        <v>139</v>
      </c>
      <c r="B27" s="29" t="n">
        <v>2500</v>
      </c>
      <c r="C27" s="31" t="n">
        <f aca="false">B27</f>
        <v>2500</v>
      </c>
      <c r="D27" s="10" t="s">
        <v>140</v>
      </c>
    </row>
    <row r="28" customFormat="false" ht="15" hidden="false" customHeight="false" outlineLevel="0" collapsed="false">
      <c r="A28" s="4" t="s">
        <v>141</v>
      </c>
      <c r="B28" s="29" t="n">
        <v>1500</v>
      </c>
      <c r="C28" s="31" t="n">
        <f aca="false">B28</f>
        <v>1500</v>
      </c>
      <c r="D28" s="10" t="s">
        <v>142</v>
      </c>
    </row>
    <row r="29" customFormat="false" ht="22.35" hidden="false" customHeight="false" outlineLevel="0" collapsed="false">
      <c r="A29" s="4" t="s">
        <v>143</v>
      </c>
      <c r="B29" s="29" t="n">
        <v>1500</v>
      </c>
      <c r="C29" s="31" t="n">
        <f aca="false">B29</f>
        <v>1500</v>
      </c>
      <c r="D29" s="10" t="s">
        <v>144</v>
      </c>
    </row>
    <row r="30" customFormat="false" ht="15" hidden="false" customHeight="false" outlineLevel="0" collapsed="false">
      <c r="A30" s="13" t="s">
        <v>145</v>
      </c>
      <c r="B30" s="32" t="n">
        <f aca="false">SUM(B24:B29)</f>
        <v>100400</v>
      </c>
      <c r="C30" s="32" t="n">
        <f aca="false">SUM(C24:C29)</f>
        <v>113300</v>
      </c>
      <c r="D30" s="14"/>
    </row>
    <row r="31" customFormat="false" ht="15" hidden="false" customHeight="false" outlineLevel="0" collapsed="false">
      <c r="A31" s="4" t="s">
        <v>146</v>
      </c>
      <c r="B31" s="20" t="str">
        <f aca="false">IF($B$30&lt;=$C$30,"Option A - daily hire","Option B - monthly hire")</f>
        <v>Option A - daily hire</v>
      </c>
      <c r="C31" s="33" t="n">
        <f aca="false">ABS(B30-C30)</f>
        <v>12900</v>
      </c>
      <c r="D31" s="10" t="s">
        <v>147</v>
      </c>
    </row>
    <row r="33" customFormat="false" ht="15" hidden="false" customHeight="false" outlineLevel="0" collapsed="false">
      <c r="A33" s="3" t="s">
        <v>148</v>
      </c>
    </row>
    <row r="34" customFormat="false" ht="30" hidden="false" customHeight="true" outlineLevel="0" collapsed="false">
      <c r="A34" s="7" t="s">
        <v>149</v>
      </c>
      <c r="B34" s="7" t="s">
        <v>150</v>
      </c>
      <c r="C34" s="7" t="s">
        <v>151</v>
      </c>
      <c r="D34" s="7" t="s">
        <v>152</v>
      </c>
      <c r="E34" s="7" t="s">
        <v>132</v>
      </c>
    </row>
    <row r="35" customFormat="false" ht="27.75" hidden="false" customHeight="true" outlineLevel="0" collapsed="false">
      <c r="A35" s="4" t="s">
        <v>153</v>
      </c>
      <c r="B35" s="17" t="n">
        <v>2</v>
      </c>
      <c r="C35" s="29" t="n">
        <v>1800</v>
      </c>
      <c r="D35" s="31" t="n">
        <f aca="false">B35*C35</f>
        <v>3600</v>
      </c>
      <c r="E35" s="10" t="s">
        <v>154</v>
      </c>
    </row>
    <row r="36" customFormat="false" ht="27.75" hidden="false" customHeight="true" outlineLevel="0" collapsed="false">
      <c r="A36" s="4" t="s">
        <v>155</v>
      </c>
      <c r="B36" s="17" t="n">
        <v>17</v>
      </c>
      <c r="C36" s="29" t="n">
        <v>600</v>
      </c>
      <c r="D36" s="31" t="n">
        <f aca="false">B36*C36</f>
        <v>10200</v>
      </c>
      <c r="E36" s="10" t="s">
        <v>156</v>
      </c>
    </row>
    <row r="37" customFormat="false" ht="27.75" hidden="false" customHeight="true" outlineLevel="0" collapsed="false">
      <c r="A37" s="4" t="s">
        <v>157</v>
      </c>
      <c r="B37" s="17" t="n">
        <v>10</v>
      </c>
      <c r="C37" s="29" t="n">
        <v>350</v>
      </c>
      <c r="D37" s="31" t="n">
        <f aca="false">B37*C37</f>
        <v>3500</v>
      </c>
      <c r="E37" s="10" t="s">
        <v>158</v>
      </c>
    </row>
    <row r="38" customFormat="false" ht="27.75" hidden="false" customHeight="true" outlineLevel="0" collapsed="false">
      <c r="A38" s="4" t="s">
        <v>159</v>
      </c>
      <c r="B38" s="17" t="n">
        <v>6</v>
      </c>
      <c r="C38" s="29" t="n">
        <v>250</v>
      </c>
      <c r="D38" s="31" t="n">
        <f aca="false">B38*C38</f>
        <v>1500</v>
      </c>
      <c r="E38" s="10" t="s">
        <v>160</v>
      </c>
    </row>
    <row r="39" customFormat="false" ht="27.75" hidden="false" customHeight="true" outlineLevel="0" collapsed="false">
      <c r="A39" s="4" t="s">
        <v>161</v>
      </c>
      <c r="B39" s="17" t="n">
        <v>6</v>
      </c>
      <c r="C39" s="29" t="n">
        <v>450</v>
      </c>
      <c r="D39" s="31" t="n">
        <f aca="false">B39*C39</f>
        <v>2700</v>
      </c>
      <c r="E39" s="10" t="s">
        <v>162</v>
      </c>
    </row>
    <row r="40" customFormat="false" ht="27.75" hidden="false" customHeight="true" outlineLevel="0" collapsed="false">
      <c r="A40" s="4" t="s">
        <v>163</v>
      </c>
      <c r="B40" s="17" t="n">
        <v>3</v>
      </c>
      <c r="C40" s="29" t="n">
        <v>900</v>
      </c>
      <c r="D40" s="31" t="n">
        <f aca="false">B40*C40</f>
        <v>2700</v>
      </c>
      <c r="E40" s="10" t="s">
        <v>164</v>
      </c>
    </row>
    <row r="41" customFormat="false" ht="15" hidden="false" customHeight="false" outlineLevel="0" collapsed="false">
      <c r="A41" s="13" t="s">
        <v>165</v>
      </c>
      <c r="B41" s="14"/>
      <c r="C41" s="14"/>
      <c r="D41" s="32" t="n">
        <f aca="false">SUM(D35:D40)</f>
        <v>24200</v>
      </c>
      <c r="E41" s="14"/>
    </row>
    <row r="43" customFormat="false" ht="15" hidden="false" customHeight="false" outlineLevel="0" collapsed="false">
      <c r="A43" s="3" t="s">
        <v>166</v>
      </c>
    </row>
    <row r="44" customFormat="false" ht="24" hidden="false" customHeight="true" outlineLevel="0" collapsed="false">
      <c r="A44" s="7" t="s">
        <v>149</v>
      </c>
      <c r="B44" s="7" t="s">
        <v>167</v>
      </c>
      <c r="C44" s="7" t="s">
        <v>131</v>
      </c>
      <c r="D44" s="7"/>
    </row>
    <row r="45" customFormat="false" ht="15" hidden="false" customHeight="false" outlineLevel="0" collapsed="false">
      <c r="A45" s="4" t="s">
        <v>168</v>
      </c>
      <c r="B45" s="31" t="n">
        <f aca="false">$B$30</f>
        <v>100400</v>
      </c>
      <c r="C45" s="31" t="n">
        <f aca="false">$C$30</f>
        <v>113300</v>
      </c>
    </row>
    <row r="46" customFormat="false" ht="15" hidden="false" customHeight="false" outlineLevel="0" collapsed="false">
      <c r="A46" s="4" t="s">
        <v>169</v>
      </c>
      <c r="B46" s="31" t="n">
        <f aca="false">$D$41</f>
        <v>24200</v>
      </c>
      <c r="C46" s="31" t="n">
        <f aca="false">$D$41</f>
        <v>24200</v>
      </c>
    </row>
    <row r="47" customFormat="false" ht="15" hidden="false" customHeight="false" outlineLevel="0" collapsed="false">
      <c r="A47" s="13" t="s">
        <v>170</v>
      </c>
      <c r="B47" s="32" t="n">
        <f aca="false">B45+B46</f>
        <v>124600</v>
      </c>
      <c r="C47" s="32" t="n">
        <f aca="false">C45+C46</f>
        <v>137500</v>
      </c>
    </row>
    <row r="48" customFormat="false" ht="15" hidden="false" customHeight="false" outlineLevel="0" collapsed="false">
      <c r="A48" s="4" t="s">
        <v>171</v>
      </c>
      <c r="B48" s="20" t="n">
        <f aca="false">$B$47/(2688.1+647.74)</f>
        <v>37.3519113626553</v>
      </c>
      <c r="C48" s="28" t="s">
        <v>172</v>
      </c>
    </row>
    <row r="50" customFormat="false" ht="15" hidden="false" customHeight="false" outlineLevel="0" collapsed="false">
      <c r="A50" s="27" t="s">
        <v>101</v>
      </c>
    </row>
    <row r="51" customFormat="false" ht="15" hidden="false" customHeight="false" outlineLevel="0" collapsed="false">
      <c r="A51" s="28" t="s">
        <v>173</v>
      </c>
    </row>
    <row r="52" customFormat="false" ht="15" hidden="false" customHeight="false" outlineLevel="0" collapsed="false">
      <c r="A52" s="28" t="s">
        <v>174</v>
      </c>
    </row>
    <row r="53" customFormat="false" ht="15" hidden="false" customHeight="false" outlineLevel="0" collapsed="false">
      <c r="A53" s="28" t="s">
        <v>175</v>
      </c>
    </row>
    <row r="54" customFormat="false" ht="15" hidden="false" customHeight="false" outlineLevel="0" collapsed="false">
      <c r="A54" s="2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2026-10-12T09:16:36Z</dcterms:created>
  <dc:creator>openpyxl</dc:creator>
  <dc:description/>
  <dc:language>en-US</dc:language>
  <cp:lastModifiedBy/>
  <dcterms:modified xsi:type="dcterms:W3CDTF">2026-10-12T09:16:36Z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