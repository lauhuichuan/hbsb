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Pump Sizing" sheetId="3" state="visible" r:id="rId5"/>
    <sheet name="Load Schedule" sheetId="4" state="visible" r:id="rId6"/>
    <sheet name="Incoming Suppl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6" authorId="0">
      <text>
        <r>
          <rPr>
            <sz val="10"/>
            <rFont val="Arial"/>
            <family val="2"/>
          </rPr>
          <t xml:space="preserve">Maximum demand current, 3-phase equivalent, assuming single-phase loads are balanced across phases.</t>
        </r>
      </text>
    </comment>
  </commentList>
</comments>
</file>

<file path=xl/sharedStrings.xml><?xml version="1.0" encoding="utf-8"?>
<sst xmlns="http://schemas.openxmlformats.org/spreadsheetml/2006/main" count="403" uniqueCount="292">
  <si>
    <t xml:space="preserve">WTP 20 m3/h x 6 h/day - Power Supply and Pump Sizing Summary</t>
  </si>
  <si>
    <t xml:space="preserve">Shelter 18.3 m x 7.2 m x 3.6 m. 415 V 3-phase 50 Hz. All figures link to the calculation sheets.</t>
  </si>
  <si>
    <t xml:space="preserve">Item</t>
  </si>
  <si>
    <t xml:space="preserve">Value</t>
  </si>
  <si>
    <t xml:space="preserve">Unit</t>
  </si>
  <si>
    <t xml:space="preserve">Note</t>
  </si>
  <si>
    <t xml:space="preserve">PUMP MOTORS</t>
  </si>
  <si>
    <t xml:space="preserve">Raw Water Pump (duty + standby) - calculated motor</t>
  </si>
  <si>
    <t xml:space="preserve">kW</t>
  </si>
  <si>
    <t xml:space="preserve">10 m3/h at 30 m</t>
  </si>
  <si>
    <t xml:space="preserve">Raw Water Pump - drawing motor</t>
  </si>
  <si>
    <t xml:space="preserve">Backwash Pump (duty + standby) - calculated motor</t>
  </si>
  <si>
    <t xml:space="preserve">30 m3/h at 30 m</t>
  </si>
  <si>
    <t xml:space="preserve">Backwash Pump - drawing motor</t>
  </si>
  <si>
    <t xml:space="preserve">Treated Water Pump - calculated motor</t>
  </si>
  <si>
    <t xml:space="preserve">12 m3/h at 30 m</t>
  </si>
  <si>
    <t xml:space="preserve">Treated Water Pump - drawing motor</t>
  </si>
  <si>
    <t xml:space="preserve">Total installed pump motor kW (design basis)</t>
  </si>
  <si>
    <t xml:space="preserve">5 motors</t>
  </si>
  <si>
    <t xml:space="preserve">Motor FLC each (design basis, 415 V)</t>
  </si>
  <si>
    <t xml:space="preserve">A</t>
  </si>
  <si>
    <t xml:space="preserve">Motor feeder MCCB (each)</t>
  </si>
  <si>
    <t xml:space="preserve">3P, with Star-Delta starter</t>
  </si>
  <si>
    <t xml:space="preserve">Motor feeder cable (each)</t>
  </si>
  <si>
    <t xml:space="preserve">mm2</t>
  </si>
  <si>
    <t xml:space="preserve">Cu XLPE/SWA/PVC 4-core</t>
  </si>
  <si>
    <t xml:space="preserve">INCOMING SUPPLY</t>
  </si>
  <si>
    <t xml:space="preserve">Total connected load</t>
  </si>
  <si>
    <t xml:space="preserve">Maximum demand</t>
  </si>
  <si>
    <t xml:space="preserve">kVA</t>
  </si>
  <si>
    <t xml:space="preserve">Standby pumps excluded</t>
  </si>
  <si>
    <t xml:space="preserve">Maximum demand current</t>
  </si>
  <si>
    <t xml:space="preserve">Design current incl. spare</t>
  </si>
  <si>
    <t xml:space="preserve">Recommended main MCCB</t>
  </si>
  <si>
    <t xml:space="preserve">4-pole</t>
  </si>
  <si>
    <t xml:space="preserve">Main MCCB on drawing</t>
  </si>
  <si>
    <t xml:space="preserve">4P 225 A</t>
  </si>
  <si>
    <t xml:space="preserve">Incoming cable</t>
  </si>
  <si>
    <t xml:space="preserve">Declared maximum demand for TNB</t>
  </si>
  <si>
    <t xml:space="preserve">Standby generator (if required)</t>
  </si>
  <si>
    <t xml:space="preserve">Estimated energy</t>
  </si>
  <si>
    <t xml:space="preserve">kWh/month</t>
  </si>
  <si>
    <t xml:space="preserve">Upper bound</t>
  </si>
  <si>
    <t xml:space="preserve">Water Treatment Plant 20 m3/h - Electrical Design Inputs</t>
  </si>
  <si>
    <t xml:space="preserve">Blue text = input (edit here). Black = formula. Yellow fill = assumption to be confirmed by the user/vendor.</t>
  </si>
  <si>
    <t xml:space="preserve">Parameter</t>
  </si>
  <si>
    <t xml:space="preserve">Basis / Source</t>
  </si>
  <si>
    <t xml:space="preserve">Std IEC motor kW</t>
  </si>
  <si>
    <t xml:space="preserve">Std MCCB/MCB (A)</t>
  </si>
  <si>
    <t xml:space="preserve">Cable size (mm2)</t>
  </si>
  <si>
    <t xml:space="preserve">Ampacity (A) Cu XLPE/SWA/PVC 4-core, on tray, 30 C</t>
  </si>
  <si>
    <t xml:space="preserve">Volt drop (mV/A/m)</t>
  </si>
  <si>
    <t xml:space="preserve">SYSTEM PARAMETERS</t>
  </si>
  <si>
    <t xml:space="preserve">Supply voltage, line-to-line</t>
  </si>
  <si>
    <t xml:space="preserve">V</t>
  </si>
  <si>
    <t xml:space="preserve">TNB LV 3-phase 4-wire supply, per drawing 'Main Incoming 415V, 3PH, 50Hz'</t>
  </si>
  <si>
    <t xml:space="preserve">Frequency</t>
  </si>
  <si>
    <t xml:space="preserve">Hz</t>
  </si>
  <si>
    <t xml:space="preserve">Per drawing</t>
  </si>
  <si>
    <t xml:space="preserve">Single-phase voltage, line-to-neutral</t>
  </si>
  <si>
    <t xml:space="preserve">Derived from line voltage</t>
  </si>
  <si>
    <t xml:space="preserve">Motor power factor at full load</t>
  </si>
  <si>
    <t xml:space="preserve">-</t>
  </si>
  <si>
    <t xml:space="preserve">Typical IE3 4-pole 5.5 kW motor at full load. Confirm from motor nameplate.</t>
  </si>
  <si>
    <t xml:space="preserve">Lighting / small-power power factor</t>
  </si>
  <si>
    <t xml:space="preserve">Assumed. LED lighting and general sockets.</t>
  </si>
  <si>
    <t xml:space="preserve">Motor efficiency (IE3, 4-pole, 5.5 kW class)</t>
  </si>
  <si>
    <t xml:space="preserve">IEC 60034-30-1 IE3 minimum, 4-pole, 5.5 kW = 89.6%</t>
  </si>
  <si>
    <t xml:space="preserve">Pump hydraulic efficiency at duty point</t>
  </si>
  <si>
    <t xml:space="preserve">Assumed for end-suction centrifugal pumps of this size. Replace with value from vendor pump curve.</t>
  </si>
  <si>
    <t xml:space="preserve">Motor sizing margin on shaft power</t>
  </si>
  <si>
    <t xml:space="preserve">Shaft power x 1.20 before selecting next standard IEC motor (common practice for pumps &lt; 7.5 kW)</t>
  </si>
  <si>
    <t xml:space="preserve">Water density</t>
  </si>
  <si>
    <t xml:space="preserve">kg/m3</t>
  </si>
  <si>
    <t xml:space="preserve">Fresh water at 25 C</t>
  </si>
  <si>
    <t xml:space="preserve">Gravitational acceleration</t>
  </si>
  <si>
    <t xml:space="preserve">m/s2</t>
  </si>
  <si>
    <t xml:space="preserve">PROTECTION AND CABLE SIZING</t>
  </si>
  <si>
    <t xml:space="preserve">Breaker sizing factor - motor feeders (x FLC)</t>
  </si>
  <si>
    <t xml:space="preserve">MCCB magnetic/thermal rating for motor circuits; overload protection is by the starter overload relay. Gives 25 A for a 5.5 kW motor, matching drawing.</t>
  </si>
  <si>
    <t xml:space="preserve">Breaker sizing factor - non-motor feeders (x FLC)</t>
  </si>
  <si>
    <t xml:space="preserve">Standard 125% of design current</t>
  </si>
  <si>
    <t xml:space="preserve">Cable derating factor (grouping x ambient)</t>
  </si>
  <si>
    <t xml:space="preserve">Assumed 35 C ambient, up to 3 circuits grouped on tray. Confirm against installation method.</t>
  </si>
  <si>
    <t xml:space="preserve">Max voltage drop - motor and sub-main feeders</t>
  </si>
  <si>
    <t xml:space="preserve">%</t>
  </si>
  <si>
    <t xml:space="preserve">4% of nominal (MS IEC 60364 / BS 7671 guidance for power)</t>
  </si>
  <si>
    <t xml:space="preserve">Max voltage drop - lighting / small power</t>
  </si>
  <si>
    <t xml:space="preserve">3% of nominal</t>
  </si>
  <si>
    <t xml:space="preserve">Cable ratings are indicative values for copper XLPE-insulated SWA/PVC 4-core cables on perforated tray (BS 7671 Table 4E4A order of magnitude). Verify against the cable manufacturer's catalogue before purchase.</t>
  </si>
  <si>
    <t xml:space="preserve">Diversity factor - lighting and small power</t>
  </si>
  <si>
    <t xml:space="preserve">Assumed</t>
  </si>
  <si>
    <t xml:space="preserve">Spare capacity on incoming supply</t>
  </si>
  <si>
    <t xml:space="preserve">25% allowance for future loads when selecting main MCCB and incoming cable</t>
  </si>
  <si>
    <t xml:space="preserve">DOL starting current multiple (x FLC)</t>
  </si>
  <si>
    <t xml:space="preserve">Typical squirrel-cage motor</t>
  </si>
  <si>
    <t xml:space="preserve">Star-Delta starting current multiple (x FLC)</t>
  </si>
  <si>
    <t xml:space="preserve">Approx. one-third of DOL starting current</t>
  </si>
  <si>
    <t xml:space="preserve">Star-Delta threshold (motors at or above this use Star-Delta)</t>
  </si>
  <si>
    <t xml:space="preserve">Per drawing: Star-Delta recommended for 5.5 kW pumps</t>
  </si>
  <si>
    <t xml:space="preserve">Electrical design basis for motor kW (Drawing / Calculated)</t>
  </si>
  <si>
    <t xml:space="preserve">Drawing</t>
  </si>
  <si>
    <t xml:space="preserve">'Drawing' sizes feeders on the 5.5 kW motors shown. 'Calculated' uses the hydraulic calculation result on the Pump Sizing sheet.</t>
  </si>
  <si>
    <t xml:space="preserve">OPERATING PROFILE</t>
  </si>
  <si>
    <t xml:space="preserve">Plant running hours per day</t>
  </si>
  <si>
    <t xml:space="preserve">h/day</t>
  </si>
  <si>
    <t xml:space="preserve">Per drawing: 20 m3/h x 6 h/day = 120 m3/day</t>
  </si>
  <si>
    <t xml:space="preserve">Operating days per month</t>
  </si>
  <si>
    <t xml:space="preserve">days</t>
  </si>
  <si>
    <t xml:space="preserve">Electricity tariff (for estimate only)</t>
  </si>
  <si>
    <t xml:space="preserve">RM/kWh</t>
  </si>
  <si>
    <t xml:space="preserve">Assumed TNB Tariff C1 energy charge; replace with actual tariff</t>
  </si>
  <si>
    <t xml:space="preserve">Pump Hydraulic Power and Motor kW Required</t>
  </si>
  <si>
    <t xml:space="preserve">P_hyd (kW) = rho x g x Q x H / (3,600 x 1,000).  Shaft kW = P_hyd / pump eff.  Motor = next standard IEC rating above shaft kW x margin.</t>
  </si>
  <si>
    <t xml:space="preserve">No.</t>
  </si>
  <si>
    <t xml:space="preserve">Tag</t>
  </si>
  <si>
    <t xml:space="preserve">Service</t>
  </si>
  <si>
    <t xml:space="preserve">Duty / Standby</t>
  </si>
  <si>
    <t xml:space="preserve">Flow Q (m3/h)</t>
  </si>
  <si>
    <t xml:space="preserve">Head H (m)</t>
  </si>
  <si>
    <t xml:space="preserve">Hydraulic power (kW)</t>
  </si>
  <si>
    <t xml:space="preserve">Pump eff.</t>
  </si>
  <si>
    <t xml:space="preserve">Shaft power (kW)</t>
  </si>
  <si>
    <t xml:space="preserve">Shaft x margin (kW)</t>
  </si>
  <si>
    <t xml:space="preserve">Calculated motor (kW)</t>
  </si>
  <si>
    <t xml:space="preserve">Drawing motor (kW)</t>
  </si>
  <si>
    <t xml:space="preserve">Design motor (kW)</t>
  </si>
  <si>
    <t xml:space="preserve">Motor eff.</t>
  </si>
  <si>
    <t xml:space="preserve">PF</t>
  </si>
  <si>
    <t xml:space="preserve">FLC (A)</t>
  </si>
  <si>
    <t xml:space="preserve">Starter</t>
  </si>
  <si>
    <t xml:space="preserve">Starting current (A)</t>
  </si>
  <si>
    <t xml:space="preserve">Remarks</t>
  </si>
  <si>
    <t xml:space="preserve">P-01</t>
  </si>
  <si>
    <t xml:space="preserve">Raw Water Pump-1 (Duty)</t>
  </si>
  <si>
    <t xml:space="preserve">Duty</t>
  </si>
  <si>
    <t xml:space="preserve">Drawing: 10 m3/h, 25-30 m. Upper head used.</t>
  </si>
  <si>
    <t xml:space="preserve">P-02</t>
  </si>
  <si>
    <t xml:space="preserve">Raw Water Pump-2 (Standby)</t>
  </si>
  <si>
    <t xml:space="preserve">Standby</t>
  </si>
  <si>
    <t xml:space="preserve">Identical to P-01, 100% standby.</t>
  </si>
  <si>
    <t xml:space="preserve">P-08</t>
  </si>
  <si>
    <t xml:space="preserve">Backwash Pump (Duty)</t>
  </si>
  <si>
    <t xml:space="preserve">Drawing: 25-30 m3/h, 25-30 m. Backwash flow 25-30 m3/h at 2.0 m/s.</t>
  </si>
  <si>
    <t xml:space="preserve">P-11</t>
  </si>
  <si>
    <t xml:space="preserve">Backwash Pump (Standby)</t>
  </si>
  <si>
    <t xml:space="preserve">Identical to P-08, 100% standby.</t>
  </si>
  <si>
    <t xml:space="preserve">P-09</t>
  </si>
  <si>
    <t xml:space="preserve">Treated Water Pump</t>
  </si>
  <si>
    <t xml:space="preserve">Drawing: 10-12 m3/h, 25-30 m. Lifts to elevated tanks at 7.0 m plus DN90 rising main losses.</t>
  </si>
  <si>
    <t xml:space="preserve">Total installed motor kW (all pumps)</t>
  </si>
  <si>
    <t xml:space="preserve">Total duty motor kW (standby excluded)</t>
  </si>
  <si>
    <t xml:space="preserve">Largest single motor (kW)</t>
  </si>
  <si>
    <t xml:space="preserve">NOTES</t>
  </si>
  <si>
    <t xml:space="preserve">1. Hydraulic power uses the upper end of the flow and head ranges on the drawing, which is conservative.</t>
  </si>
  <si>
    <t xml:space="preserve">2. The calculated motor column shows the minimum standard IEC motor that satisfies shaft power x margin. The drawing specifies 5.5 kW for all five pumps.</t>
  </si>
  <si>
    <t xml:space="preserve">3. The raw water and treated water pumps calculate to 2.2 kW. 5.5 kW motors give about 2.5x margin; this is acceptable if the vendor pump curve runs out to higher flow, but a 3 kW or 4 kW motor would reduce starting current and cost.</t>
  </si>
  <si>
    <t xml:space="preserve">4. The backwash pumps calculate to 5.5 kW at 30 m3/h and 30 m, so the drawing rating is appropriate.</t>
  </si>
  <si>
    <t xml:space="preserve">5. Change the 'Electrical design basis' cell on the Inputs sheet to 'Calculated' to re-size all feeders and the incoming supply on the calculated motors.</t>
  </si>
  <si>
    <t xml:space="preserve">6. Standby pumps are excluded from maximum demand on the Incoming Supply sheet; they are electrically interlocked with their duty pump.</t>
  </si>
  <si>
    <t xml:space="preserve">Load Schedule - Motor Control Centre and WTP Control DB</t>
  </si>
  <si>
    <t xml:space="preserve">Feeder sizing: FLC -&gt; breaker (next standard size above FLC x factor) -&gt; cable (ampacity after derating &gt;= breaker) -&gt; voltage drop check.</t>
  </si>
  <si>
    <t xml:space="preserve">Ckt</t>
  </si>
  <si>
    <t xml:space="preserve">Feeder / Load</t>
  </si>
  <si>
    <t xml:space="preserve">Load type</t>
  </si>
  <si>
    <t xml:space="preserve">Ph</t>
  </si>
  <si>
    <t xml:space="preserve">Qty</t>
  </si>
  <si>
    <t xml:space="preserve">Unit kW</t>
  </si>
  <si>
    <t xml:space="preserve">Connected kW</t>
  </si>
  <si>
    <t xml:space="preserve">Eff.</t>
  </si>
  <si>
    <t xml:space="preserve">Running (Y/N)</t>
  </si>
  <si>
    <t xml:space="preserve">Diversity</t>
  </si>
  <si>
    <t xml:space="preserve">Running input kW</t>
  </si>
  <si>
    <t xml:space="preserve">Running kVA</t>
  </si>
  <si>
    <t xml:space="preserve">Breaker factor</t>
  </si>
  <si>
    <t xml:space="preserve">Breaker calc (A)</t>
  </si>
  <si>
    <t xml:space="preserve">Breaker selected (A)</t>
  </si>
  <si>
    <t xml:space="preserve">Breaker type</t>
  </si>
  <si>
    <t xml:space="preserve">Cable length (m)</t>
  </si>
  <si>
    <t xml:space="preserve">Cable req. (A)</t>
  </si>
  <si>
    <t xml:space="preserve">Cable rating (A)</t>
  </si>
  <si>
    <t xml:space="preserve">Volt drop (V)</t>
  </si>
  <si>
    <t xml:space="preserve">Volt drop (%)</t>
  </si>
  <si>
    <t xml:space="preserve">VD check / Remarks</t>
  </si>
  <si>
    <t xml:space="preserve">MCC-1</t>
  </si>
  <si>
    <t xml:space="preserve">Motor</t>
  </si>
  <si>
    <t xml:space="preserve">Y</t>
  </si>
  <si>
    <t xml:space="preserve">MCCB 3P</t>
  </si>
  <si>
    <t xml:space="preserve">MCC-2</t>
  </si>
  <si>
    <t xml:space="preserve">N</t>
  </si>
  <si>
    <t xml:space="preserve">MCC-3</t>
  </si>
  <si>
    <t xml:space="preserve">MCC-4</t>
  </si>
  <si>
    <t xml:space="preserve">MCC-5</t>
  </si>
  <si>
    <t xml:space="preserve">DB-1</t>
  </si>
  <si>
    <t xml:space="preserve">Lighting</t>
  </si>
  <si>
    <t xml:space="preserve">MCB 1P</t>
  </si>
  <si>
    <t xml:space="preserve">DB-2</t>
  </si>
  <si>
    <t xml:space="preserve">Socket outlets</t>
  </si>
  <si>
    <t xml:space="preserve">Small power</t>
  </si>
  <si>
    <t xml:space="preserve">DB-3</t>
  </si>
  <si>
    <t xml:space="preserve">Chemical dosing pumps (PAC, Soda Ash, TCCA, C833/HEDP)</t>
  </si>
  <si>
    <t xml:space="preserve">DB-4</t>
  </si>
  <si>
    <t xml:space="preserve">Agitators (chemical tanks)</t>
  </si>
  <si>
    <t xml:space="preserve">DB-5</t>
  </si>
  <si>
    <t xml:space="preserve">Control panel, PLC, level sensors, residual chlorine analyser</t>
  </si>
  <si>
    <t xml:space="preserve">DB-6</t>
  </si>
  <si>
    <t xml:space="preserve">Spare</t>
  </si>
  <si>
    <t xml:space="preserve">TOTAL</t>
  </si>
  <si>
    <t xml:space="preserve">LEGEND</t>
  </si>
  <si>
    <t xml:space="preserve">Blue = input. Green = linked from another sheet. Black = formula. Yellow fill = assumed load value not given on the drawing - confirm with vendor.</t>
  </si>
  <si>
    <t xml:space="preserve">FLC (A): 3-phase = kW x 1000 / (sqrt3 x V x PF x eff);  1-phase = kW x 1000 / (V_LN x PF x eff).</t>
  </si>
  <si>
    <t xml:space="preserve">Breaker: next standard rating above FLC x factor (2.0 for motors with starter overload relay, 1.25 otherwise).</t>
  </si>
  <si>
    <t xml:space="preserve">Cable: smallest size whose ampacity x derating factor is at least the breaker rating, so the breaker protects the cable.</t>
  </si>
  <si>
    <t xml:space="preserve">Voltage drop = mV/A/m x FLC x length / 1000, checked against the limit on the Inputs sheet. Single-phase circuits use the 4-core table values, which is conservative.</t>
  </si>
  <si>
    <t xml:space="preserve">Single-phase DB loads are to be distributed across R, Y, B phases as evenly as possible; the DB is a 3-phase board fed from the MCC.</t>
  </si>
  <si>
    <t xml:space="preserve">Incoming Power Supply Sizing - Main MCCB, Incoming Cable, TNB Supply and Standby Generator</t>
  </si>
  <si>
    <t xml:space="preserve">All values derive from the Load Schedule and Inputs sheets.</t>
  </si>
  <si>
    <t xml:space="preserve">Formula / Basis</t>
  </si>
  <si>
    <t xml:space="preserve">A. CONNECTED AND RUNNING LOAD</t>
  </si>
  <si>
    <t xml:space="preserve">Total connected load (all feeders incl. standby)</t>
  </si>
  <si>
    <t xml:space="preserve">Sum of connected kW on Load Schedule</t>
  </si>
  <si>
    <t xml:space="preserve">Maximum demand - running input power</t>
  </si>
  <si>
    <t xml:space="preserve">Running loads only, standby pumps excluded, diversity applied to lighting and small power, motor efficiency included</t>
  </si>
  <si>
    <t xml:space="preserve">Maximum demand - apparent power</t>
  </si>
  <si>
    <t xml:space="preserve">Sum of running kVA</t>
  </si>
  <si>
    <t xml:space="preserve">Overall power factor at maximum demand</t>
  </si>
  <si>
    <t xml:space="preserve">kW / kVA</t>
  </si>
  <si>
    <t xml:space="preserve">kVA x 1000 / (sqrt3 x 415)</t>
  </si>
  <si>
    <t xml:space="preserve">B. INCOMING SUPPLY DESIGN CURRENT</t>
  </si>
  <si>
    <t xml:space="preserve">Spare capacity allowance</t>
  </si>
  <si>
    <t xml:space="preserve">From Inputs</t>
  </si>
  <si>
    <t xml:space="preserve">Design current including spare capacity</t>
  </si>
  <si>
    <t xml:space="preserve">Max demand current x (1 + spare)</t>
  </si>
  <si>
    <t xml:space="preserve">Largest motor FLC</t>
  </si>
  <si>
    <t xml:space="preserve">Largest of the MCC motor feeders</t>
  </si>
  <si>
    <t xml:space="preserve">Largest motor starting current (Star-Delta)</t>
  </si>
  <si>
    <t xml:space="preserve">FLC x Star-Delta starting multiple</t>
  </si>
  <si>
    <t xml:space="preserve">Peak current during start of largest motor</t>
  </si>
  <si>
    <t xml:space="preserve">Max demand current with the largest motor replaced by its starting current (other loads running). Main MCCB must not trip at this value.</t>
  </si>
  <si>
    <t xml:space="preserve">C. MAIN INCOMING MCCB</t>
  </si>
  <si>
    <t xml:space="preserve">Main MCCB required rating (next standard size)</t>
  </si>
  <si>
    <t xml:space="preserve">Next standard rating above design current</t>
  </si>
  <si>
    <t xml:space="preserve">Main MCCB shown on drawing</t>
  </si>
  <si>
    <t xml:space="preserve">Drawing: Main MCCB 4P 225A</t>
  </si>
  <si>
    <t xml:space="preserve">Drawing MCCB utilisation at maximum demand</t>
  </si>
  <si>
    <t xml:space="preserve">Max demand current / drawing MCCB rating</t>
  </si>
  <si>
    <t xml:space="preserve">Calculated rating, but not less than 63 A (4-pole, with adjustable thermal setting, SPD Type 2 downstream, earth bar). Set thermal trip to design current.</t>
  </si>
  <si>
    <t xml:space="preserve">Assessment of drawing 225 A MCCB</t>
  </si>
  <si>
    <t xml:space="preserve">Comparison</t>
  </si>
  <si>
    <t xml:space="preserve">D. INCOMING CABLE (TNB meter board to MCC)</t>
  </si>
  <si>
    <t xml:space="preserve">Incoming cable length</t>
  </si>
  <si>
    <t xml:space="preserve">m</t>
  </si>
  <si>
    <t xml:space="preserve">ASSUMED distance from TNB metering/main switch to MCC room. Edit.</t>
  </si>
  <si>
    <t xml:space="preserve">Required cable ampacity (recommended MCCB / derating)</t>
  </si>
  <si>
    <t xml:space="preserve">Cable must be protected by the main MCCB</t>
  </si>
  <si>
    <t xml:space="preserve">Incoming cable size - Cu XLPE/SWA/PVC 4-core</t>
  </si>
  <si>
    <t xml:space="preserve">Smallest standard size meeting required ampacity</t>
  </si>
  <si>
    <t xml:space="preserve">Incoming cable rating</t>
  </si>
  <si>
    <t xml:space="preserve">Voltage drop at design current</t>
  </si>
  <si>
    <t xml:space="preserve">mV/A/m x design current x length</t>
  </si>
  <si>
    <t xml:space="preserve">Voltage drop</t>
  </si>
  <si>
    <t xml:space="preserve">Limit for sub-main: see Inputs. Total from origin to motor terminals should stay within 5%.</t>
  </si>
  <si>
    <t xml:space="preserve">Voltage drop check</t>
  </si>
  <si>
    <t xml:space="preserve">E. TNB SUPPLY APPLICATION</t>
  </si>
  <si>
    <t xml:space="preserve">Supply type</t>
  </si>
  <si>
    <t xml:space="preserve">415 V, 3-phase, 4-wire, 50 Hz LV supply</t>
  </si>
  <si>
    <t xml:space="preserve">Declared maximum demand for TNB application</t>
  </si>
  <si>
    <t xml:space="preserve">Max demand kVA x (1 + spare), rounded up</t>
  </si>
  <si>
    <t xml:space="preserve">Connected load declared</t>
  </si>
  <si>
    <t xml:space="preserve">Indicative tariff category</t>
  </si>
  <si>
    <t xml:space="preserve">Indicative only - confirm with TNB regional office; actual tariff code depends on premises classification</t>
  </si>
  <si>
    <t xml:space="preserve">Energy consumption estimate</t>
  </si>
  <si>
    <t xml:space="preserve">Max demand kW x running hours/day x days/month (upper bound; backwash does not run all day)</t>
  </si>
  <si>
    <t xml:space="preserve">Energy cost estimate</t>
  </si>
  <si>
    <t xml:space="preserve">RM/month</t>
  </si>
  <si>
    <t xml:space="preserve">kWh x assumed tariff (Inputs)</t>
  </si>
  <si>
    <t xml:space="preserve">F. STANDBY GENERATOR (optional, if required by client)</t>
  </si>
  <si>
    <t xml:space="preserve">Running load</t>
  </si>
  <si>
    <t xml:space="preserve">Max demand kVA</t>
  </si>
  <si>
    <t xml:space="preserve">Starting kVA of largest motor (Star-Delta)</t>
  </si>
  <si>
    <t xml:space="preserve">sqrt3 x V x starting current / 1000</t>
  </si>
  <si>
    <t xml:space="preserve">Transient demand (running load minus largest motor plus its starting kVA)</t>
  </si>
  <si>
    <t xml:space="preserve">Worst case: largest motor starts with everything else running</t>
  </si>
  <si>
    <t xml:space="preserve">Generator sizing basis</t>
  </si>
  <si>
    <t xml:space="preserve">Greater of running load x 1.25 and transient demand</t>
  </si>
  <si>
    <t xml:space="preserve">Recommended generator (next standard size)</t>
  </si>
  <si>
    <t xml:space="preserve">Standard prime-rated set sizes; 415 V, 3-phase, with ATS at main incoming</t>
  </si>
  <si>
    <t xml:space="preserve">1. Maximum demand counts the raw water duty pump, backwash duty pump, treated water pump, lighting, sockets, dosing pumps, agitators and controls as running together. Standby pumps are interlocked and excluded.</t>
  </si>
  <si>
    <t xml:space="preserve">2. The 225 A main MCCB on the drawing is far above the calculated demand. It is harmless electrically, but TNB applications are assessed on declared maximum demand, and a 225 A frame implies ~160 kVA which may push the installation into CT metering and a higher connection charge. Confirm the intended future expansion before keeping 225 A.</t>
  </si>
  <si>
    <t xml:space="preserve">3. All motor feeders use Star-Delta starters per the drawing; with calculated 2.2 kW motors for the raw and treated water pumps, DOL starting would be acceptable and simpler.</t>
  </si>
  <si>
    <t xml:space="preserve">4. Earthing: single earth bar in MCC, all equipment and DBs bonded. SPD Type 2 at main incoming per drawing. Earth electrode resistance target 1 ohm or less; TT or TN-C-S per TNB supply arrangement.</t>
  </si>
  <si>
    <t xml:space="preserve">5. All assumed values are highlighted yellow on the Inputs and Load Schedule sheets. Replace them with vendor data and the workbook recalculates.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</si>
</sst>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General"/>
    <numFmt numFmtId="167" formatCode="0.000"/>
    <numFmt numFmtId="168" formatCode="0.0%"/>
    <numFmt numFmtId="169" formatCode="0.0"/>
    <numFmt numFmtId="170" formatCode="0.00"/>
    <numFmt numFmtId="171" formatCode="0"/>
    <numFmt numFmtId="172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5"/>
      <c r="D5" s="5"/>
    </row>
    <row r="6" customFormat="false" ht="15" hidden="false" customHeight="false" outlineLevel="0" collapsed="false">
      <c r="A6" s="6" t="s">
        <v>7</v>
      </c>
      <c r="B6" s="7" t="n">
        <f aca="false">'Pump Sizing'!K5</f>
        <v>2.2</v>
      </c>
      <c r="C6" s="6" t="s">
        <v>8</v>
      </c>
      <c r="D6" s="6" t="s">
        <v>9</v>
      </c>
    </row>
    <row r="7" customFormat="false" ht="15" hidden="false" customHeight="false" outlineLevel="0" collapsed="false">
      <c r="A7" s="6" t="s">
        <v>10</v>
      </c>
      <c r="B7" s="7" t="n">
        <f aca="false">'Pump Sizing'!L5</f>
        <v>5.5</v>
      </c>
      <c r="C7" s="6" t="s">
        <v>8</v>
      </c>
      <c r="D7" s="6"/>
    </row>
    <row r="8" customFormat="false" ht="15" hidden="false" customHeight="false" outlineLevel="0" collapsed="false">
      <c r="A8" s="6" t="s">
        <v>11</v>
      </c>
      <c r="B8" s="7" t="n">
        <f aca="false">'Pump Sizing'!K7</f>
        <v>5.5</v>
      </c>
      <c r="C8" s="6" t="s">
        <v>8</v>
      </c>
      <c r="D8" s="6" t="s">
        <v>12</v>
      </c>
    </row>
    <row r="9" customFormat="false" ht="15" hidden="false" customHeight="false" outlineLevel="0" collapsed="false">
      <c r="A9" s="6" t="s">
        <v>13</v>
      </c>
      <c r="B9" s="7" t="n">
        <f aca="false">'Pump Sizing'!L7</f>
        <v>5.5</v>
      </c>
      <c r="C9" s="6" t="s">
        <v>8</v>
      </c>
      <c r="D9" s="6"/>
    </row>
    <row r="10" customFormat="false" ht="15" hidden="false" customHeight="false" outlineLevel="0" collapsed="false">
      <c r="A10" s="6" t="s">
        <v>14</v>
      </c>
      <c r="B10" s="7" t="n">
        <f aca="false">'Pump Sizing'!K9</f>
        <v>2.2</v>
      </c>
      <c r="C10" s="6" t="s">
        <v>8</v>
      </c>
      <c r="D10" s="6" t="s">
        <v>15</v>
      </c>
    </row>
    <row r="11" customFormat="false" ht="15" hidden="false" customHeight="false" outlineLevel="0" collapsed="false">
      <c r="A11" s="6" t="s">
        <v>16</v>
      </c>
      <c r="B11" s="7" t="n">
        <f aca="false">'Pump Sizing'!L9</f>
        <v>5.5</v>
      </c>
      <c r="C11" s="6" t="s">
        <v>8</v>
      </c>
      <c r="D11" s="6"/>
    </row>
    <row r="12" customFormat="false" ht="15" hidden="false" customHeight="false" outlineLevel="0" collapsed="false">
      <c r="A12" s="6" t="s">
        <v>17</v>
      </c>
      <c r="B12" s="7" t="n">
        <f aca="false">'Pump Sizing'!M11</f>
        <v>27.5</v>
      </c>
      <c r="C12" s="6" t="s">
        <v>8</v>
      </c>
      <c r="D12" s="6" t="s">
        <v>18</v>
      </c>
    </row>
    <row r="13" customFormat="false" ht="15" hidden="false" customHeight="false" outlineLevel="0" collapsed="false">
      <c r="A13" s="6" t="s">
        <v>19</v>
      </c>
      <c r="B13" s="7" t="n">
        <f aca="false">'Pump Sizing'!P5</f>
        <v>10.0467831848706</v>
      </c>
      <c r="C13" s="6" t="s">
        <v>20</v>
      </c>
      <c r="D13" s="6"/>
    </row>
    <row r="14" customFormat="false" ht="15" hidden="false" customHeight="false" outlineLevel="0" collapsed="false">
      <c r="A14" s="6" t="s">
        <v>21</v>
      </c>
      <c r="B14" s="7" t="n">
        <f aca="false">'Load Schedule'!Q5</f>
        <v>25</v>
      </c>
      <c r="C14" s="6" t="s">
        <v>20</v>
      </c>
      <c r="D14" s="6" t="s">
        <v>22</v>
      </c>
    </row>
    <row r="15" customFormat="false" ht="15" hidden="false" customHeight="false" outlineLevel="0" collapsed="false">
      <c r="A15" s="6" t="s">
        <v>23</v>
      </c>
      <c r="B15" s="7" t="n">
        <f aca="false">'Load Schedule'!V5</f>
        <v>2.5</v>
      </c>
      <c r="C15" s="6" t="s">
        <v>24</v>
      </c>
      <c r="D15" s="6" t="s">
        <v>25</v>
      </c>
    </row>
    <row r="16" customFormat="false" ht="15" hidden="false" customHeight="false" outlineLevel="0" collapsed="false">
      <c r="A16" s="4" t="s">
        <v>26</v>
      </c>
      <c r="B16" s="5"/>
      <c r="C16" s="5"/>
      <c r="D16" s="5"/>
    </row>
    <row r="17" customFormat="false" ht="15" hidden="false" customHeight="false" outlineLevel="0" collapsed="false">
      <c r="A17" s="6" t="s">
        <v>27</v>
      </c>
      <c r="B17" s="7" t="n">
        <f aca="false">'Incoming Supply'!B6</f>
        <v>33.96</v>
      </c>
      <c r="C17" s="6" t="s">
        <v>8</v>
      </c>
      <c r="D17" s="6"/>
    </row>
    <row r="18" customFormat="false" ht="15" hidden="false" customHeight="false" outlineLevel="0" collapsed="false">
      <c r="A18" s="6" t="s">
        <v>28</v>
      </c>
      <c r="B18" s="7" t="n">
        <f aca="false">'Incoming Supply'!B8</f>
        <v>27.9051120448179</v>
      </c>
      <c r="C18" s="6" t="s">
        <v>29</v>
      </c>
      <c r="D18" s="6" t="s">
        <v>30</v>
      </c>
    </row>
    <row r="19" customFormat="false" ht="15" hidden="false" customHeight="false" outlineLevel="0" collapsed="false">
      <c r="A19" s="6" t="s">
        <v>31</v>
      </c>
      <c r="B19" s="7" t="n">
        <f aca="false">'Incoming Supply'!B10</f>
        <v>38.821744459861</v>
      </c>
      <c r="C19" s="6" t="s">
        <v>20</v>
      </c>
      <c r="D19" s="6"/>
    </row>
    <row r="20" customFormat="false" ht="15" hidden="false" customHeight="false" outlineLevel="0" collapsed="false">
      <c r="A20" s="6" t="s">
        <v>32</v>
      </c>
      <c r="B20" s="7" t="n">
        <f aca="false">'Incoming Supply'!B13</f>
        <v>48.5271805748262</v>
      </c>
      <c r="C20" s="6" t="s">
        <v>20</v>
      </c>
      <c r="D20" s="6"/>
    </row>
    <row r="21" customFormat="false" ht="15" hidden="false" customHeight="false" outlineLevel="0" collapsed="false">
      <c r="A21" s="6" t="s">
        <v>33</v>
      </c>
      <c r="B21" s="7" t="n">
        <f aca="false">'Incoming Supply'!B21</f>
        <v>63</v>
      </c>
      <c r="C21" s="6" t="s">
        <v>20</v>
      </c>
      <c r="D21" s="6" t="s">
        <v>34</v>
      </c>
    </row>
    <row r="22" customFormat="false" ht="15" hidden="false" customHeight="false" outlineLevel="0" collapsed="false">
      <c r="A22" s="6" t="s">
        <v>35</v>
      </c>
      <c r="B22" s="7" t="n">
        <f aca="false">'Incoming Supply'!B19</f>
        <v>225</v>
      </c>
      <c r="C22" s="6" t="s">
        <v>20</v>
      </c>
      <c r="D22" s="6" t="s">
        <v>36</v>
      </c>
    </row>
    <row r="23" customFormat="false" ht="15" hidden="false" customHeight="false" outlineLevel="0" collapsed="false">
      <c r="A23" s="6" t="s">
        <v>37</v>
      </c>
      <c r="B23" s="7" t="n">
        <f aca="false">'Incoming Supply'!B26</f>
        <v>16</v>
      </c>
      <c r="C23" s="6" t="s">
        <v>24</v>
      </c>
      <c r="D23" s="6" t="s">
        <v>25</v>
      </c>
    </row>
    <row r="24" customFormat="false" ht="15" hidden="false" customHeight="false" outlineLevel="0" collapsed="false">
      <c r="A24" s="6" t="s">
        <v>38</v>
      </c>
      <c r="B24" s="7" t="n">
        <f aca="false">'Incoming Supply'!B33</f>
        <v>35</v>
      </c>
      <c r="C24" s="6" t="s">
        <v>29</v>
      </c>
      <c r="D24" s="6"/>
    </row>
    <row r="25" customFormat="false" ht="15" hidden="false" customHeight="false" outlineLevel="0" collapsed="false">
      <c r="A25" s="6" t="s">
        <v>39</v>
      </c>
      <c r="B25" s="7" t="n">
        <f aca="false">'Incoming Supply'!B43</f>
        <v>40</v>
      </c>
      <c r="C25" s="6" t="s">
        <v>29</v>
      </c>
      <c r="D25" s="6"/>
    </row>
    <row r="26" customFormat="false" ht="15" hidden="false" customHeight="false" outlineLevel="0" collapsed="false">
      <c r="A26" s="6" t="s">
        <v>40</v>
      </c>
      <c r="B26" s="7" t="n">
        <f aca="false">'Incoming Supply'!B36</f>
        <v>4302.48214285714</v>
      </c>
      <c r="C26" s="6" t="s">
        <v>41</v>
      </c>
      <c r="D26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18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42" hidden="false" customHeight="true" outlineLevel="0" collapsed="false">
      <c r="A4" s="3" t="s">
        <v>45</v>
      </c>
      <c r="B4" s="3" t="s">
        <v>3</v>
      </c>
      <c r="C4" s="3" t="s">
        <v>4</v>
      </c>
      <c r="D4" s="3" t="s">
        <v>46</v>
      </c>
      <c r="F4" s="3" t="s">
        <v>47</v>
      </c>
      <c r="H4" s="3" t="s">
        <v>48</v>
      </c>
      <c r="J4" s="3" t="s">
        <v>49</v>
      </c>
      <c r="K4" s="3" t="s">
        <v>50</v>
      </c>
      <c r="L4" s="3" t="s">
        <v>51</v>
      </c>
    </row>
    <row r="5" customFormat="false" ht="15" hidden="false" customHeight="false" outlineLevel="0" collapsed="false">
      <c r="A5" s="4" t="s">
        <v>52</v>
      </c>
      <c r="B5" s="5"/>
      <c r="C5" s="5"/>
      <c r="D5" s="5"/>
      <c r="F5" s="8" t="n">
        <v>0.37</v>
      </c>
      <c r="H5" s="8" t="n">
        <v>6</v>
      </c>
      <c r="J5" s="8" t="n">
        <v>1.5</v>
      </c>
      <c r="K5" s="8" t="n">
        <v>22</v>
      </c>
      <c r="L5" s="8" t="n">
        <v>29</v>
      </c>
    </row>
    <row r="6" customFormat="false" ht="23.85" hidden="false" customHeight="false" outlineLevel="0" collapsed="false">
      <c r="A6" s="6" t="s">
        <v>53</v>
      </c>
      <c r="B6" s="8" t="n">
        <v>415</v>
      </c>
      <c r="C6" s="6" t="s">
        <v>54</v>
      </c>
      <c r="D6" s="6" t="s">
        <v>55</v>
      </c>
      <c r="F6" s="8" t="n">
        <v>0.55</v>
      </c>
      <c r="H6" s="8" t="n">
        <v>10</v>
      </c>
      <c r="J6" s="8" t="n">
        <v>2.5</v>
      </c>
      <c r="K6" s="8" t="n">
        <v>30</v>
      </c>
      <c r="L6" s="8" t="n">
        <v>18</v>
      </c>
    </row>
    <row r="7" customFormat="false" ht="15" hidden="false" customHeight="false" outlineLevel="0" collapsed="false">
      <c r="A7" s="6" t="s">
        <v>56</v>
      </c>
      <c r="B7" s="8" t="n">
        <v>50</v>
      </c>
      <c r="C7" s="6" t="s">
        <v>57</v>
      </c>
      <c r="D7" s="6" t="s">
        <v>58</v>
      </c>
      <c r="F7" s="8" t="n">
        <v>0.75</v>
      </c>
      <c r="H7" s="8" t="n">
        <v>16</v>
      </c>
      <c r="J7" s="8" t="n">
        <v>4</v>
      </c>
      <c r="K7" s="8" t="n">
        <v>40</v>
      </c>
      <c r="L7" s="8" t="n">
        <v>11</v>
      </c>
    </row>
    <row r="8" customFormat="false" ht="15" hidden="false" customHeight="false" outlineLevel="0" collapsed="false">
      <c r="A8" s="6" t="s">
        <v>59</v>
      </c>
      <c r="B8" s="9" t="n">
        <f aca="false">ROUND(B6/SQRT(3),0)</f>
        <v>240</v>
      </c>
      <c r="C8" s="6" t="s">
        <v>54</v>
      </c>
      <c r="D8" s="6" t="s">
        <v>60</v>
      </c>
      <c r="F8" s="8" t="n">
        <v>1.1</v>
      </c>
      <c r="H8" s="8" t="n">
        <v>20</v>
      </c>
      <c r="J8" s="8" t="n">
        <v>6</v>
      </c>
      <c r="K8" s="8" t="n">
        <v>52</v>
      </c>
      <c r="L8" s="8" t="n">
        <v>7.3</v>
      </c>
    </row>
    <row r="9" customFormat="false" ht="23.85" hidden="false" customHeight="false" outlineLevel="0" collapsed="false">
      <c r="A9" s="6" t="s">
        <v>61</v>
      </c>
      <c r="B9" s="10" t="n">
        <v>0.85</v>
      </c>
      <c r="C9" s="6" t="s">
        <v>62</v>
      </c>
      <c r="D9" s="6" t="s">
        <v>63</v>
      </c>
      <c r="F9" s="8" t="n">
        <v>1.5</v>
      </c>
      <c r="H9" s="8" t="n">
        <v>25</v>
      </c>
      <c r="J9" s="8" t="n">
        <v>10</v>
      </c>
      <c r="K9" s="8" t="n">
        <v>71</v>
      </c>
      <c r="L9" s="8" t="n">
        <v>4.4</v>
      </c>
    </row>
    <row r="10" customFormat="false" ht="15" hidden="false" customHeight="false" outlineLevel="0" collapsed="false">
      <c r="A10" s="6" t="s">
        <v>64</v>
      </c>
      <c r="B10" s="10" t="n">
        <v>0.9</v>
      </c>
      <c r="C10" s="6" t="s">
        <v>62</v>
      </c>
      <c r="D10" s="6" t="s">
        <v>65</v>
      </c>
      <c r="F10" s="8" t="n">
        <v>2.2</v>
      </c>
      <c r="H10" s="8" t="n">
        <v>32</v>
      </c>
      <c r="J10" s="8" t="n">
        <v>16</v>
      </c>
      <c r="K10" s="8" t="n">
        <v>94</v>
      </c>
      <c r="L10" s="8" t="n">
        <v>2.8</v>
      </c>
    </row>
    <row r="11" customFormat="false" ht="15" hidden="false" customHeight="false" outlineLevel="0" collapsed="false">
      <c r="A11" s="6" t="s">
        <v>66</v>
      </c>
      <c r="B11" s="11" t="n">
        <v>0.896</v>
      </c>
      <c r="C11" s="6" t="s">
        <v>62</v>
      </c>
      <c r="D11" s="6" t="s">
        <v>67</v>
      </c>
      <c r="F11" s="8" t="n">
        <v>3</v>
      </c>
      <c r="H11" s="8" t="n">
        <v>40</v>
      </c>
      <c r="J11" s="8" t="n">
        <v>25</v>
      </c>
      <c r="K11" s="8" t="n">
        <v>124</v>
      </c>
      <c r="L11" s="8" t="n">
        <v>1.75</v>
      </c>
    </row>
    <row r="12" customFormat="false" ht="23.85" hidden="false" customHeight="false" outlineLevel="0" collapsed="false">
      <c r="A12" s="6" t="s">
        <v>68</v>
      </c>
      <c r="B12" s="10" t="n">
        <v>0.65</v>
      </c>
      <c r="C12" s="6" t="s">
        <v>62</v>
      </c>
      <c r="D12" s="6" t="s">
        <v>69</v>
      </c>
      <c r="F12" s="8" t="n">
        <v>4</v>
      </c>
      <c r="H12" s="8" t="n">
        <v>50</v>
      </c>
      <c r="J12" s="8" t="n">
        <v>35</v>
      </c>
      <c r="K12" s="8" t="n">
        <v>153</v>
      </c>
      <c r="L12" s="8" t="n">
        <v>1.25</v>
      </c>
    </row>
    <row r="13" customFormat="false" ht="23.85" hidden="false" customHeight="false" outlineLevel="0" collapsed="false">
      <c r="A13" s="6" t="s">
        <v>70</v>
      </c>
      <c r="B13" s="12" t="n">
        <v>1.2</v>
      </c>
      <c r="C13" s="6" t="s">
        <v>62</v>
      </c>
      <c r="D13" s="6" t="s">
        <v>71</v>
      </c>
      <c r="F13" s="8" t="n">
        <v>5.5</v>
      </c>
      <c r="H13" s="8" t="n">
        <v>63</v>
      </c>
      <c r="J13" s="8" t="n">
        <v>50</v>
      </c>
      <c r="K13" s="8" t="n">
        <v>185</v>
      </c>
      <c r="L13" s="8" t="n">
        <v>0.93</v>
      </c>
    </row>
    <row r="14" customFormat="false" ht="15" hidden="false" customHeight="false" outlineLevel="0" collapsed="false">
      <c r="A14" s="6" t="s">
        <v>72</v>
      </c>
      <c r="B14" s="8" t="n">
        <v>1000</v>
      </c>
      <c r="C14" s="6" t="s">
        <v>73</v>
      </c>
      <c r="D14" s="6" t="s">
        <v>74</v>
      </c>
      <c r="F14" s="8" t="n">
        <v>7.5</v>
      </c>
      <c r="H14" s="8" t="n">
        <v>80</v>
      </c>
      <c r="J14" s="8" t="n">
        <v>70</v>
      </c>
      <c r="K14" s="8" t="n">
        <v>236</v>
      </c>
      <c r="L14" s="8" t="n">
        <v>0.63</v>
      </c>
    </row>
    <row r="15" customFormat="false" ht="15" hidden="false" customHeight="false" outlineLevel="0" collapsed="false">
      <c r="A15" s="6" t="s">
        <v>75</v>
      </c>
      <c r="B15" s="8" t="n">
        <v>9.81</v>
      </c>
      <c r="C15" s="6" t="s">
        <v>76</v>
      </c>
      <c r="D15" s="6"/>
      <c r="F15" s="8" t="n">
        <v>11</v>
      </c>
      <c r="H15" s="8" t="n">
        <v>100</v>
      </c>
      <c r="J15" s="8" t="n">
        <v>95</v>
      </c>
      <c r="K15" s="8" t="n">
        <v>288</v>
      </c>
      <c r="L15" s="8" t="n">
        <v>0.46</v>
      </c>
    </row>
    <row r="16" customFormat="false" ht="15" hidden="false" customHeight="false" outlineLevel="0" collapsed="false">
      <c r="A16" s="4" t="s">
        <v>77</v>
      </c>
      <c r="B16" s="5"/>
      <c r="C16" s="5"/>
      <c r="D16" s="5"/>
      <c r="F16" s="8" t="n">
        <v>15</v>
      </c>
      <c r="H16" s="8" t="n">
        <v>125</v>
      </c>
      <c r="J16" s="8" t="n">
        <v>120</v>
      </c>
      <c r="K16" s="8" t="n">
        <v>335</v>
      </c>
      <c r="L16" s="8" t="n">
        <v>0.38</v>
      </c>
    </row>
    <row r="17" customFormat="false" ht="35.05" hidden="false" customHeight="false" outlineLevel="0" collapsed="false">
      <c r="A17" s="6" t="s">
        <v>78</v>
      </c>
      <c r="B17" s="12" t="n">
        <v>2</v>
      </c>
      <c r="C17" s="6" t="s">
        <v>62</v>
      </c>
      <c r="D17" s="6" t="s">
        <v>79</v>
      </c>
      <c r="F17" s="8" t="n">
        <v>18.5</v>
      </c>
      <c r="H17" s="8" t="n">
        <v>160</v>
      </c>
      <c r="J17" s="8" t="n">
        <v>150</v>
      </c>
      <c r="K17" s="8" t="n">
        <v>385</v>
      </c>
      <c r="L17" s="8" t="n">
        <v>0.31</v>
      </c>
    </row>
    <row r="18" customFormat="false" ht="15" hidden="false" customHeight="false" outlineLevel="0" collapsed="false">
      <c r="A18" s="6" t="s">
        <v>80</v>
      </c>
      <c r="B18" s="8" t="n">
        <v>1.25</v>
      </c>
      <c r="C18" s="6" t="s">
        <v>62</v>
      </c>
      <c r="D18" s="6" t="s">
        <v>81</v>
      </c>
      <c r="F18" s="8" t="n">
        <v>22</v>
      </c>
      <c r="H18" s="8" t="n">
        <v>200</v>
      </c>
      <c r="J18" s="8" t="n">
        <v>185</v>
      </c>
      <c r="K18" s="8" t="n">
        <v>440</v>
      </c>
      <c r="L18" s="8" t="n">
        <v>0.25</v>
      </c>
    </row>
    <row r="19" customFormat="false" ht="23.85" hidden="false" customHeight="false" outlineLevel="0" collapsed="false">
      <c r="A19" s="6" t="s">
        <v>82</v>
      </c>
      <c r="B19" s="10" t="n">
        <v>0.87</v>
      </c>
      <c r="C19" s="6" t="s">
        <v>62</v>
      </c>
      <c r="D19" s="6" t="s">
        <v>83</v>
      </c>
      <c r="F19" s="8" t="n">
        <v>30</v>
      </c>
      <c r="H19" s="8" t="n">
        <v>225</v>
      </c>
      <c r="J19" s="8" t="n">
        <v>240</v>
      </c>
      <c r="K19" s="8" t="n">
        <v>515</v>
      </c>
      <c r="L19" s="8" t="n">
        <v>0.19</v>
      </c>
    </row>
    <row r="20" customFormat="false" ht="15" hidden="false" customHeight="false" outlineLevel="0" collapsed="false">
      <c r="A20" s="6" t="s">
        <v>84</v>
      </c>
      <c r="B20" s="13" t="n">
        <v>0.04</v>
      </c>
      <c r="C20" s="6" t="s">
        <v>85</v>
      </c>
      <c r="D20" s="6" t="s">
        <v>86</v>
      </c>
      <c r="H20" s="8" t="n">
        <v>250</v>
      </c>
    </row>
    <row r="21" customFormat="false" ht="15" hidden="false" customHeight="true" outlineLevel="0" collapsed="false">
      <c r="A21" s="6" t="s">
        <v>87</v>
      </c>
      <c r="B21" s="13" t="n">
        <v>0.03</v>
      </c>
      <c r="C21" s="6" t="s">
        <v>85</v>
      </c>
      <c r="D21" s="6" t="s">
        <v>88</v>
      </c>
      <c r="H21" s="8" t="n">
        <v>320</v>
      </c>
      <c r="J21" s="14" t="s">
        <v>89</v>
      </c>
      <c r="K21" s="14"/>
      <c r="L21" s="14"/>
    </row>
    <row r="22" customFormat="false" ht="15" hidden="false" customHeight="false" outlineLevel="0" collapsed="false">
      <c r="A22" s="6" t="s">
        <v>90</v>
      </c>
      <c r="B22" s="10" t="n">
        <v>0.8</v>
      </c>
      <c r="C22" s="6" t="s">
        <v>62</v>
      </c>
      <c r="D22" s="6" t="s">
        <v>91</v>
      </c>
      <c r="H22" s="8" t="n">
        <v>400</v>
      </c>
      <c r="J22" s="14"/>
      <c r="K22" s="14"/>
      <c r="L22" s="14"/>
    </row>
    <row r="23" customFormat="false" ht="23.85" hidden="false" customHeight="false" outlineLevel="0" collapsed="false">
      <c r="A23" s="6" t="s">
        <v>92</v>
      </c>
      <c r="B23" s="10" t="n">
        <v>0.25</v>
      </c>
      <c r="C23" s="6" t="s">
        <v>62</v>
      </c>
      <c r="D23" s="6" t="s">
        <v>93</v>
      </c>
      <c r="J23" s="14"/>
      <c r="K23" s="14"/>
      <c r="L23" s="14"/>
    </row>
    <row r="24" customFormat="false" ht="15" hidden="false" customHeight="false" outlineLevel="0" collapsed="false">
      <c r="A24" s="6" t="s">
        <v>94</v>
      </c>
      <c r="B24" s="8" t="n">
        <v>6</v>
      </c>
      <c r="C24" s="6" t="s">
        <v>62</v>
      </c>
      <c r="D24" s="6" t="s">
        <v>95</v>
      </c>
      <c r="J24" s="14"/>
      <c r="K24" s="14"/>
      <c r="L24" s="14"/>
    </row>
    <row r="25" customFormat="false" ht="15" hidden="false" customHeight="false" outlineLevel="0" collapsed="false">
      <c r="A25" s="6" t="s">
        <v>96</v>
      </c>
      <c r="B25" s="8" t="n">
        <v>2</v>
      </c>
      <c r="C25" s="6" t="s">
        <v>62</v>
      </c>
      <c r="D25" s="6" t="s">
        <v>97</v>
      </c>
    </row>
    <row r="26" customFormat="false" ht="23.85" hidden="false" customHeight="false" outlineLevel="0" collapsed="false">
      <c r="A26" s="6" t="s">
        <v>98</v>
      </c>
      <c r="B26" s="8" t="n">
        <v>4</v>
      </c>
      <c r="C26" s="6" t="s">
        <v>8</v>
      </c>
      <c r="D26" s="6" t="s">
        <v>99</v>
      </c>
    </row>
    <row r="27" customFormat="false" ht="23.85" hidden="false" customHeight="false" outlineLevel="0" collapsed="false">
      <c r="A27" s="6" t="s">
        <v>100</v>
      </c>
      <c r="B27" s="15" t="s">
        <v>101</v>
      </c>
      <c r="C27" s="6" t="s">
        <v>62</v>
      </c>
      <c r="D27" s="6" t="s">
        <v>102</v>
      </c>
    </row>
    <row r="28" customFormat="false" ht="15" hidden="false" customHeight="false" outlineLevel="0" collapsed="false">
      <c r="A28" s="4" t="s">
        <v>103</v>
      </c>
      <c r="B28" s="5"/>
      <c r="C28" s="5"/>
      <c r="D28" s="5"/>
    </row>
    <row r="29" customFormat="false" ht="15" hidden="false" customHeight="false" outlineLevel="0" collapsed="false">
      <c r="A29" s="6" t="s">
        <v>104</v>
      </c>
      <c r="B29" s="8" t="n">
        <v>6</v>
      </c>
      <c r="C29" s="6" t="s">
        <v>105</v>
      </c>
      <c r="D29" s="6" t="s">
        <v>106</v>
      </c>
    </row>
    <row r="30" customFormat="false" ht="15" hidden="false" customHeight="false" outlineLevel="0" collapsed="false">
      <c r="A30" s="6" t="s">
        <v>107</v>
      </c>
      <c r="B30" s="12" t="n">
        <v>30</v>
      </c>
      <c r="C30" s="6" t="s">
        <v>108</v>
      </c>
      <c r="D30" s="6" t="s">
        <v>91</v>
      </c>
    </row>
    <row r="31" customFormat="false" ht="15" hidden="false" customHeight="false" outlineLevel="0" collapsed="false">
      <c r="A31" s="6" t="s">
        <v>109</v>
      </c>
      <c r="B31" s="10" t="n">
        <v>0.509</v>
      </c>
      <c r="C31" s="6" t="s">
        <v>110</v>
      </c>
      <c r="D31" s="6" t="s">
        <v>111</v>
      </c>
    </row>
  </sheetData>
  <mergeCells count="1">
    <mergeCell ref="J21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3" min="10" style="0" width="11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8" min="17" style="0" width="12"/>
    <col collapsed="false" customWidth="true" hidden="false" outlineLevel="0" max="19" min="19" style="0" width="46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42" hidden="false" customHeight="true" outlineLevel="0" collapsed="false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  <c r="G4" s="3" t="s">
        <v>120</v>
      </c>
      <c r="H4" s="3" t="s">
        <v>121</v>
      </c>
      <c r="I4" s="3" t="s">
        <v>122</v>
      </c>
      <c r="J4" s="3" t="s">
        <v>123</v>
      </c>
      <c r="K4" s="3" t="s">
        <v>124</v>
      </c>
      <c r="L4" s="3" t="s">
        <v>125</v>
      </c>
      <c r="M4" s="3" t="s">
        <v>126</v>
      </c>
      <c r="N4" s="3" t="s">
        <v>127</v>
      </c>
      <c r="O4" s="3" t="s">
        <v>128</v>
      </c>
      <c r="P4" s="3" t="s">
        <v>129</v>
      </c>
      <c r="Q4" s="3" t="s">
        <v>130</v>
      </c>
      <c r="R4" s="3" t="s">
        <v>131</v>
      </c>
      <c r="S4" s="3" t="s">
        <v>132</v>
      </c>
    </row>
    <row r="5" customFormat="false" ht="15" hidden="false" customHeight="false" outlineLevel="0" collapsed="false">
      <c r="A5" s="9" t="n">
        <v>1</v>
      </c>
      <c r="B5" s="6" t="s">
        <v>133</v>
      </c>
      <c r="C5" s="6" t="s">
        <v>134</v>
      </c>
      <c r="D5" s="16" t="s">
        <v>135</v>
      </c>
      <c r="E5" s="17" t="n">
        <v>10</v>
      </c>
      <c r="F5" s="17" t="n">
        <v>30</v>
      </c>
      <c r="G5" s="18" t="n">
        <f aca="false">Inputs!$B$14*Inputs!$B$15*E5*F5/(3600*1000)</f>
        <v>0.8175</v>
      </c>
      <c r="H5" s="19" t="n">
        <f aca="false">Inputs!$B$12</f>
        <v>0.65</v>
      </c>
      <c r="I5" s="18" t="n">
        <f aca="false">G5/H5</f>
        <v>1.25769230769231</v>
      </c>
      <c r="J5" s="18" t="n">
        <f aca="false">I5*Inputs!$B$13</f>
        <v>1.50923076923077</v>
      </c>
      <c r="K5" s="18" t="n">
        <f aca="false">INDEX(Inputs!$F$5:$F$19,COUNTIF(Inputs!$F$5:$F$19,"&lt;"&amp;J5)+1)</f>
        <v>2.2</v>
      </c>
      <c r="L5" s="17" t="n">
        <v>5.5</v>
      </c>
      <c r="M5" s="18" t="n">
        <f aca="false">IF(Inputs!$B$27="Calculated",K5,L5)</f>
        <v>5.5</v>
      </c>
      <c r="N5" s="20" t="n">
        <f aca="false">Inputs!$B$11</f>
        <v>0.896</v>
      </c>
      <c r="O5" s="19" t="n">
        <f aca="false">Inputs!$B$9</f>
        <v>0.85</v>
      </c>
      <c r="P5" s="21" t="n">
        <f aca="false">M5*1000/(SQRT(3)*Inputs!$B$6*N5*O5)</f>
        <v>10.0467831848706</v>
      </c>
      <c r="Q5" s="9" t="str">
        <f aca="false">IF(M5&gt;=Inputs!$B$26,"Star-Delta","DOL")</f>
        <v>Star-Delta</v>
      </c>
      <c r="R5" s="21" t="n">
        <f aca="false">P5*IF(Q5="DOL",Inputs!$B$24,Inputs!$B$25)</f>
        <v>20.0935663697412</v>
      </c>
      <c r="S5" s="6" t="s">
        <v>136</v>
      </c>
    </row>
    <row r="6" customFormat="false" ht="15" hidden="false" customHeight="false" outlineLevel="0" collapsed="false">
      <c r="A6" s="9" t="n">
        <v>2</v>
      </c>
      <c r="B6" s="6" t="s">
        <v>137</v>
      </c>
      <c r="C6" s="6" t="s">
        <v>138</v>
      </c>
      <c r="D6" s="16" t="s">
        <v>139</v>
      </c>
      <c r="E6" s="17" t="n">
        <v>10</v>
      </c>
      <c r="F6" s="17" t="n">
        <v>30</v>
      </c>
      <c r="G6" s="18" t="n">
        <f aca="false">Inputs!$B$14*Inputs!$B$15*E6*F6/(3600*1000)</f>
        <v>0.8175</v>
      </c>
      <c r="H6" s="19" t="n">
        <f aca="false">Inputs!$B$12</f>
        <v>0.65</v>
      </c>
      <c r="I6" s="18" t="n">
        <f aca="false">G6/H6</f>
        <v>1.25769230769231</v>
      </c>
      <c r="J6" s="18" t="n">
        <f aca="false">I6*Inputs!$B$13</f>
        <v>1.50923076923077</v>
      </c>
      <c r="K6" s="18" t="n">
        <f aca="false">INDEX(Inputs!$F$5:$F$19,COUNTIF(Inputs!$F$5:$F$19,"&lt;"&amp;J6)+1)</f>
        <v>2.2</v>
      </c>
      <c r="L6" s="17" t="n">
        <v>5.5</v>
      </c>
      <c r="M6" s="18" t="n">
        <f aca="false">IF(Inputs!$B$27="Calculated",K6,L6)</f>
        <v>5.5</v>
      </c>
      <c r="N6" s="20" t="n">
        <f aca="false">Inputs!$B$11</f>
        <v>0.896</v>
      </c>
      <c r="O6" s="19" t="n">
        <f aca="false">Inputs!$B$9</f>
        <v>0.85</v>
      </c>
      <c r="P6" s="21" t="n">
        <f aca="false">M6*1000/(SQRT(3)*Inputs!$B$6*N6*O6)</f>
        <v>10.0467831848706</v>
      </c>
      <c r="Q6" s="9" t="str">
        <f aca="false">IF(M6&gt;=Inputs!$B$26,"Star-Delta","DOL")</f>
        <v>Star-Delta</v>
      </c>
      <c r="R6" s="21" t="n">
        <f aca="false">P6*IF(Q6="DOL",Inputs!$B$24,Inputs!$B$25)</f>
        <v>20.0935663697412</v>
      </c>
      <c r="S6" s="6" t="s">
        <v>140</v>
      </c>
    </row>
    <row r="7" customFormat="false" ht="23.85" hidden="false" customHeight="false" outlineLevel="0" collapsed="false">
      <c r="A7" s="9" t="n">
        <v>3</v>
      </c>
      <c r="B7" s="6" t="s">
        <v>141</v>
      </c>
      <c r="C7" s="6" t="s">
        <v>142</v>
      </c>
      <c r="D7" s="16" t="s">
        <v>135</v>
      </c>
      <c r="E7" s="17" t="n">
        <v>30</v>
      </c>
      <c r="F7" s="17" t="n">
        <v>30</v>
      </c>
      <c r="G7" s="18" t="n">
        <f aca="false">Inputs!$B$14*Inputs!$B$15*E7*F7/(3600*1000)</f>
        <v>2.4525</v>
      </c>
      <c r="H7" s="19" t="n">
        <f aca="false">Inputs!$B$12</f>
        <v>0.65</v>
      </c>
      <c r="I7" s="18" t="n">
        <f aca="false">G7/H7</f>
        <v>3.77307692307692</v>
      </c>
      <c r="J7" s="18" t="n">
        <f aca="false">I7*Inputs!$B$13</f>
        <v>4.52769230769231</v>
      </c>
      <c r="K7" s="18" t="n">
        <f aca="false">INDEX(Inputs!$F$5:$F$19,COUNTIF(Inputs!$F$5:$F$19,"&lt;"&amp;J7)+1)</f>
        <v>5.5</v>
      </c>
      <c r="L7" s="17" t="n">
        <v>5.5</v>
      </c>
      <c r="M7" s="18" t="n">
        <f aca="false">IF(Inputs!$B$27="Calculated",K7,L7)</f>
        <v>5.5</v>
      </c>
      <c r="N7" s="20" t="n">
        <f aca="false">Inputs!$B$11</f>
        <v>0.896</v>
      </c>
      <c r="O7" s="19" t="n">
        <f aca="false">Inputs!$B$9</f>
        <v>0.85</v>
      </c>
      <c r="P7" s="21" t="n">
        <f aca="false">M7*1000/(SQRT(3)*Inputs!$B$6*N7*O7)</f>
        <v>10.0467831848706</v>
      </c>
      <c r="Q7" s="9" t="str">
        <f aca="false">IF(M7&gt;=Inputs!$B$26,"Star-Delta","DOL")</f>
        <v>Star-Delta</v>
      </c>
      <c r="R7" s="21" t="n">
        <f aca="false">P7*IF(Q7="DOL",Inputs!$B$24,Inputs!$B$25)</f>
        <v>20.0935663697412</v>
      </c>
      <c r="S7" s="6" t="s">
        <v>143</v>
      </c>
    </row>
    <row r="8" customFormat="false" ht="15" hidden="false" customHeight="false" outlineLevel="0" collapsed="false">
      <c r="A8" s="9" t="n">
        <v>4</v>
      </c>
      <c r="B8" s="6" t="s">
        <v>144</v>
      </c>
      <c r="C8" s="6" t="s">
        <v>145</v>
      </c>
      <c r="D8" s="16" t="s">
        <v>139</v>
      </c>
      <c r="E8" s="17" t="n">
        <v>30</v>
      </c>
      <c r="F8" s="17" t="n">
        <v>30</v>
      </c>
      <c r="G8" s="18" t="n">
        <f aca="false">Inputs!$B$14*Inputs!$B$15*E8*F8/(3600*1000)</f>
        <v>2.4525</v>
      </c>
      <c r="H8" s="19" t="n">
        <f aca="false">Inputs!$B$12</f>
        <v>0.65</v>
      </c>
      <c r="I8" s="18" t="n">
        <f aca="false">G8/H8</f>
        <v>3.77307692307692</v>
      </c>
      <c r="J8" s="18" t="n">
        <f aca="false">I8*Inputs!$B$13</f>
        <v>4.52769230769231</v>
      </c>
      <c r="K8" s="18" t="n">
        <f aca="false">INDEX(Inputs!$F$5:$F$19,COUNTIF(Inputs!$F$5:$F$19,"&lt;"&amp;J8)+1)</f>
        <v>5.5</v>
      </c>
      <c r="L8" s="17" t="n">
        <v>5.5</v>
      </c>
      <c r="M8" s="18" t="n">
        <f aca="false">IF(Inputs!$B$27="Calculated",K8,L8)</f>
        <v>5.5</v>
      </c>
      <c r="N8" s="20" t="n">
        <f aca="false">Inputs!$B$11</f>
        <v>0.896</v>
      </c>
      <c r="O8" s="19" t="n">
        <f aca="false">Inputs!$B$9</f>
        <v>0.85</v>
      </c>
      <c r="P8" s="21" t="n">
        <f aca="false">M8*1000/(SQRT(3)*Inputs!$B$6*N8*O8)</f>
        <v>10.0467831848706</v>
      </c>
      <c r="Q8" s="9" t="str">
        <f aca="false">IF(M8&gt;=Inputs!$B$26,"Star-Delta","DOL")</f>
        <v>Star-Delta</v>
      </c>
      <c r="R8" s="21" t="n">
        <f aca="false">P8*IF(Q8="DOL",Inputs!$B$24,Inputs!$B$25)</f>
        <v>20.0935663697412</v>
      </c>
      <c r="S8" s="6" t="s">
        <v>146</v>
      </c>
    </row>
    <row r="9" customFormat="false" ht="23.85" hidden="false" customHeight="false" outlineLevel="0" collapsed="false">
      <c r="A9" s="9" t="n">
        <v>5</v>
      </c>
      <c r="B9" s="6" t="s">
        <v>147</v>
      </c>
      <c r="C9" s="6" t="s">
        <v>148</v>
      </c>
      <c r="D9" s="16" t="s">
        <v>135</v>
      </c>
      <c r="E9" s="17" t="n">
        <v>12</v>
      </c>
      <c r="F9" s="17" t="n">
        <v>30</v>
      </c>
      <c r="G9" s="18" t="n">
        <f aca="false">Inputs!$B$14*Inputs!$B$15*E9*F9/(3600*1000)</f>
        <v>0.981</v>
      </c>
      <c r="H9" s="19" t="n">
        <f aca="false">Inputs!$B$12</f>
        <v>0.65</v>
      </c>
      <c r="I9" s="18" t="n">
        <f aca="false">G9/H9</f>
        <v>1.50923076923077</v>
      </c>
      <c r="J9" s="18" t="n">
        <f aca="false">I9*Inputs!$B$13</f>
        <v>1.81107692307692</v>
      </c>
      <c r="K9" s="18" t="n">
        <f aca="false">INDEX(Inputs!$F$5:$F$19,COUNTIF(Inputs!$F$5:$F$19,"&lt;"&amp;J9)+1)</f>
        <v>2.2</v>
      </c>
      <c r="L9" s="17" t="n">
        <v>5.5</v>
      </c>
      <c r="M9" s="18" t="n">
        <f aca="false">IF(Inputs!$B$27="Calculated",K9,L9)</f>
        <v>5.5</v>
      </c>
      <c r="N9" s="20" t="n">
        <f aca="false">Inputs!$B$11</f>
        <v>0.896</v>
      </c>
      <c r="O9" s="19" t="n">
        <f aca="false">Inputs!$B$9</f>
        <v>0.85</v>
      </c>
      <c r="P9" s="21" t="n">
        <f aca="false">M9*1000/(SQRT(3)*Inputs!$B$6*N9*O9)</f>
        <v>10.0467831848706</v>
      </c>
      <c r="Q9" s="9" t="str">
        <f aca="false">IF(M9&gt;=Inputs!$B$26,"Star-Delta","DOL")</f>
        <v>Star-Delta</v>
      </c>
      <c r="R9" s="21" t="n">
        <f aca="false">P9*IF(Q9="DOL",Inputs!$B$24,Inputs!$B$25)</f>
        <v>20.0935663697412</v>
      </c>
      <c r="S9" s="6" t="s">
        <v>149</v>
      </c>
    </row>
    <row r="11" customFormat="false" ht="23.85" hidden="false" customHeight="false" outlineLevel="0" collapsed="false">
      <c r="C11" s="22" t="s">
        <v>150</v>
      </c>
      <c r="M11" s="23" t="n">
        <f aca="false">SUM(M5:M9)</f>
        <v>27.5</v>
      </c>
    </row>
    <row r="12" customFormat="false" ht="23.85" hidden="false" customHeight="false" outlineLevel="0" collapsed="false">
      <c r="C12" s="22" t="s">
        <v>151</v>
      </c>
      <c r="M12" s="23" t="n">
        <f aca="false">SUMIF(D5:D9,"Duty",M5:M9)</f>
        <v>16.5</v>
      </c>
    </row>
    <row r="13" customFormat="false" ht="15" hidden="false" customHeight="false" outlineLevel="0" collapsed="false">
      <c r="C13" s="22" t="s">
        <v>152</v>
      </c>
      <c r="M13" s="23" t="n">
        <f aca="false">MAX(M5:M9)</f>
        <v>5.5</v>
      </c>
    </row>
    <row r="15" customFormat="false" ht="15" hidden="false" customHeight="false" outlineLevel="0" collapsed="false">
      <c r="A15" s="24" t="s">
        <v>153</v>
      </c>
    </row>
    <row r="16" customFormat="false" ht="15" hidden="false" customHeight="false" outlineLevel="0" collapsed="false">
      <c r="A16" s="25" t="s">
        <v>154</v>
      </c>
    </row>
    <row r="17" customFormat="false" ht="15" hidden="false" customHeight="false" outlineLevel="0" collapsed="false">
      <c r="A17" s="25" t="s">
        <v>155</v>
      </c>
    </row>
    <row r="18" customFormat="false" ht="15" hidden="false" customHeight="false" outlineLevel="0" collapsed="false">
      <c r="A18" s="25" t="s">
        <v>156</v>
      </c>
    </row>
    <row r="19" customFormat="false" ht="15" hidden="false" customHeight="false" outlineLevel="0" collapsed="false">
      <c r="A19" s="25" t="s">
        <v>157</v>
      </c>
    </row>
    <row r="20" customFormat="false" ht="15" hidden="false" customHeight="false" outlineLevel="0" collapsed="false">
      <c r="A20" s="25" t="s">
        <v>158</v>
      </c>
    </row>
    <row r="21" customFormat="false" ht="15" hidden="false" customHeight="false" outlineLevel="0" collapsed="false">
      <c r="A21" s="25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5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7"/>
    <col collapsed="false" customWidth="true" hidden="false" outlineLevel="0" max="12" min="10" style="0" width="9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10"/>
    <col collapsed="false" customWidth="true" hidden="false" outlineLevel="0" max="24" min="23" style="0" width="9"/>
    <col collapsed="false" customWidth="true" hidden="false" outlineLevel="0" max="25" min="25" style="0" width="12"/>
    <col collapsed="false" customWidth="true" hidden="false" outlineLevel="0" max="26" min="26" style="0" width="40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4" customFormat="false" ht="42" hidden="false" customHeight="true" outlineLevel="0" collapsed="false">
      <c r="A4" s="3" t="s">
        <v>162</v>
      </c>
      <c r="B4" s="3" t="s">
        <v>163</v>
      </c>
      <c r="C4" s="3" t="s">
        <v>164</v>
      </c>
      <c r="D4" s="3" t="s">
        <v>165</v>
      </c>
      <c r="E4" s="3" t="s">
        <v>166</v>
      </c>
      <c r="F4" s="3" t="s">
        <v>167</v>
      </c>
      <c r="G4" s="3" t="s">
        <v>168</v>
      </c>
      <c r="H4" s="3" t="s">
        <v>128</v>
      </c>
      <c r="I4" s="3" t="s">
        <v>169</v>
      </c>
      <c r="J4" s="3" t="s">
        <v>129</v>
      </c>
      <c r="K4" s="3" t="s">
        <v>170</v>
      </c>
      <c r="L4" s="3" t="s">
        <v>171</v>
      </c>
      <c r="M4" s="3" t="s">
        <v>172</v>
      </c>
      <c r="N4" s="3" t="s">
        <v>173</v>
      </c>
      <c r="O4" s="3" t="s">
        <v>174</v>
      </c>
      <c r="P4" s="3" t="s">
        <v>175</v>
      </c>
      <c r="Q4" s="3" t="s">
        <v>176</v>
      </c>
      <c r="R4" s="3" t="s">
        <v>177</v>
      </c>
      <c r="S4" s="3" t="s">
        <v>130</v>
      </c>
      <c r="T4" s="3" t="s">
        <v>178</v>
      </c>
      <c r="U4" s="3" t="s">
        <v>179</v>
      </c>
      <c r="V4" s="3" t="s">
        <v>49</v>
      </c>
      <c r="W4" s="3" t="s">
        <v>180</v>
      </c>
      <c r="X4" s="3" t="s">
        <v>181</v>
      </c>
      <c r="Y4" s="3" t="s">
        <v>182</v>
      </c>
      <c r="Z4" s="3" t="s">
        <v>183</v>
      </c>
    </row>
    <row r="5" customFormat="false" ht="15" hidden="false" customHeight="false" outlineLevel="0" collapsed="false">
      <c r="A5" s="6" t="s">
        <v>184</v>
      </c>
      <c r="B5" s="6" t="s">
        <v>134</v>
      </c>
      <c r="C5" s="16" t="s">
        <v>185</v>
      </c>
      <c r="D5" s="8" t="n">
        <v>3</v>
      </c>
      <c r="E5" s="8" t="n">
        <v>1</v>
      </c>
      <c r="F5" s="19" t="n">
        <f aca="false">'Pump Sizing'!M5</f>
        <v>5.5</v>
      </c>
      <c r="G5" s="18" t="n">
        <f aca="false">E5*F5</f>
        <v>5.5</v>
      </c>
      <c r="H5" s="19" t="n">
        <f aca="false">IF(C5="Motor",Inputs!$B$9,Inputs!$B$10)</f>
        <v>0.85</v>
      </c>
      <c r="I5" s="20" t="n">
        <f aca="false">IF(C5="Motor",Inputs!$B$11,1)</f>
        <v>0.896</v>
      </c>
      <c r="J5" s="21" t="n">
        <f aca="false">IF(D5=3,G5*1000/(SQRT(3)*Inputs!$B$6*H5*I5),G5*1000/(Inputs!$B$8*H5*I5))</f>
        <v>10.0467831848706</v>
      </c>
      <c r="K5" s="16" t="s">
        <v>186</v>
      </c>
      <c r="L5" s="26" t="n">
        <v>1</v>
      </c>
      <c r="M5" s="18" t="n">
        <f aca="false">IF(K5="Y",G5*L5/I5,0)</f>
        <v>6.13839285714286</v>
      </c>
      <c r="N5" s="18" t="n">
        <f aca="false">M5/H5</f>
        <v>7.22163865546218</v>
      </c>
      <c r="O5" s="19" t="n">
        <f aca="false">IF(C5="Motor",Inputs!$B$17,Inputs!$B$18)</f>
        <v>2</v>
      </c>
      <c r="P5" s="21" t="n">
        <f aca="false">J5*O5</f>
        <v>20.0935663697412</v>
      </c>
      <c r="Q5" s="27" t="n">
        <f aca="false">INDEX(Inputs!$H$5:$H$22,COUNTIF(Inputs!$H$5:$H$22,"&lt;"&amp;P5)+1)</f>
        <v>25</v>
      </c>
      <c r="R5" s="16" t="s">
        <v>187</v>
      </c>
      <c r="S5" s="9" t="str">
        <f aca="false">IF(C5&lt;&gt;"Motor","-",IF(F5&gt;=Inputs!$B$26,"Star-Delta","DOL"))</f>
        <v>Star-Delta</v>
      </c>
      <c r="T5" s="28" t="n">
        <v>30</v>
      </c>
      <c r="U5" s="21" t="n">
        <f aca="false">Q5/Inputs!$B$19</f>
        <v>28.735632183908</v>
      </c>
      <c r="V5" s="21" t="n">
        <f aca="false">INDEX(Inputs!$J$5:$J$19,COUNTIF(Inputs!$K$5:$K$19,"&lt;"&amp;U5)+1)</f>
        <v>2.5</v>
      </c>
      <c r="W5" s="27" t="n">
        <f aca="false">INDEX(Inputs!$K$5:$K$19,COUNTIF(Inputs!$K$5:$K$19,"&lt;"&amp;U5)+1)</f>
        <v>30</v>
      </c>
      <c r="X5" s="18" t="n">
        <f aca="false">INDEX(Inputs!$L$5:$L$19,COUNTIF(Inputs!$K$5:$K$19,"&lt;"&amp;U5)+1)*J5*T5/1000</f>
        <v>5.42526291983013</v>
      </c>
      <c r="Y5" s="29" t="n">
        <f aca="false">X5/IF(D5=3,Inputs!$B$6,Inputs!$B$8)</f>
        <v>0.0130729226983858</v>
      </c>
      <c r="Z5" s="9" t="str">
        <f aca="false">IF(Y5&lt;=IF(C5="Motor",Inputs!$B$20,Inputs!$B$21),"OK","EXCEEDS LIMIT - upsize cable")&amp;" - "&amp;"Star-Delta per drawing"</f>
        <v>OK - Star-Delta per drawing</v>
      </c>
    </row>
    <row r="6" customFormat="false" ht="15" hidden="false" customHeight="false" outlineLevel="0" collapsed="false">
      <c r="A6" s="6" t="s">
        <v>188</v>
      </c>
      <c r="B6" s="6" t="s">
        <v>138</v>
      </c>
      <c r="C6" s="16" t="s">
        <v>185</v>
      </c>
      <c r="D6" s="8" t="n">
        <v>3</v>
      </c>
      <c r="E6" s="8" t="n">
        <v>1</v>
      </c>
      <c r="F6" s="19" t="n">
        <f aca="false">'Pump Sizing'!M6</f>
        <v>5.5</v>
      </c>
      <c r="G6" s="18" t="n">
        <f aca="false">E6*F6</f>
        <v>5.5</v>
      </c>
      <c r="H6" s="19" t="n">
        <f aca="false">IF(C6="Motor",Inputs!$B$9,Inputs!$B$10)</f>
        <v>0.85</v>
      </c>
      <c r="I6" s="20" t="n">
        <f aca="false">IF(C6="Motor",Inputs!$B$11,1)</f>
        <v>0.896</v>
      </c>
      <c r="J6" s="21" t="n">
        <f aca="false">IF(D6=3,G6*1000/(SQRT(3)*Inputs!$B$6*H6*I6),G6*1000/(Inputs!$B$8*H6*I6))</f>
        <v>10.0467831848706</v>
      </c>
      <c r="K6" s="16" t="s">
        <v>189</v>
      </c>
      <c r="L6" s="26" t="n">
        <v>1</v>
      </c>
      <c r="M6" s="18" t="n">
        <f aca="false">IF(K6="Y",G6*L6/I6,0)</f>
        <v>0</v>
      </c>
      <c r="N6" s="18" t="n">
        <f aca="false">M6/H6</f>
        <v>0</v>
      </c>
      <c r="O6" s="19" t="n">
        <f aca="false">IF(C6="Motor",Inputs!$B$17,Inputs!$B$18)</f>
        <v>2</v>
      </c>
      <c r="P6" s="21" t="n">
        <f aca="false">J6*O6</f>
        <v>20.0935663697412</v>
      </c>
      <c r="Q6" s="27" t="n">
        <f aca="false">INDEX(Inputs!$H$5:$H$22,COUNTIF(Inputs!$H$5:$H$22,"&lt;"&amp;P6)+1)</f>
        <v>25</v>
      </c>
      <c r="R6" s="16" t="s">
        <v>187</v>
      </c>
      <c r="S6" s="9" t="str">
        <f aca="false">IF(C6&lt;&gt;"Motor","-",IF(F6&gt;=Inputs!$B$26,"Star-Delta","DOL"))</f>
        <v>Star-Delta</v>
      </c>
      <c r="T6" s="28" t="n">
        <v>30</v>
      </c>
      <c r="U6" s="21" t="n">
        <f aca="false">Q6/Inputs!$B$19</f>
        <v>28.735632183908</v>
      </c>
      <c r="V6" s="21" t="n">
        <f aca="false">INDEX(Inputs!$J$5:$J$19,COUNTIF(Inputs!$K$5:$K$19,"&lt;"&amp;U6)+1)</f>
        <v>2.5</v>
      </c>
      <c r="W6" s="27" t="n">
        <f aca="false">INDEX(Inputs!$K$5:$K$19,COUNTIF(Inputs!$K$5:$K$19,"&lt;"&amp;U6)+1)</f>
        <v>30</v>
      </c>
      <c r="X6" s="18" t="n">
        <f aca="false">INDEX(Inputs!$L$5:$L$19,COUNTIF(Inputs!$K$5:$K$19,"&lt;"&amp;U6)+1)*J6*T6/1000</f>
        <v>5.42526291983013</v>
      </c>
      <c r="Y6" s="29" t="n">
        <f aca="false">X6/IF(D6=3,Inputs!$B$6,Inputs!$B$8)</f>
        <v>0.0130729226983858</v>
      </c>
      <c r="Z6" s="9" t="str">
        <f aca="false">IF(Y6&lt;=IF(C6="Motor",Inputs!$B$20,Inputs!$B$21),"OK","EXCEEDS LIMIT - upsize cable")&amp;" - "&amp;"Standby - interlocked with MCC-1"</f>
        <v>OK - Standby - interlocked with MCC-1</v>
      </c>
    </row>
    <row r="7" customFormat="false" ht="23.85" hidden="false" customHeight="false" outlineLevel="0" collapsed="false">
      <c r="A7" s="6" t="s">
        <v>190</v>
      </c>
      <c r="B7" s="6" t="s">
        <v>142</v>
      </c>
      <c r="C7" s="16" t="s">
        <v>185</v>
      </c>
      <c r="D7" s="8" t="n">
        <v>3</v>
      </c>
      <c r="E7" s="8" t="n">
        <v>1</v>
      </c>
      <c r="F7" s="19" t="n">
        <f aca="false">'Pump Sizing'!M7</f>
        <v>5.5</v>
      </c>
      <c r="G7" s="18" t="n">
        <f aca="false">E7*F7</f>
        <v>5.5</v>
      </c>
      <c r="H7" s="19" t="n">
        <f aca="false">IF(C7="Motor",Inputs!$B$9,Inputs!$B$10)</f>
        <v>0.85</v>
      </c>
      <c r="I7" s="20" t="n">
        <f aca="false">IF(C7="Motor",Inputs!$B$11,1)</f>
        <v>0.896</v>
      </c>
      <c r="J7" s="21" t="n">
        <f aca="false">IF(D7=3,G7*1000/(SQRT(3)*Inputs!$B$6*H7*I7),G7*1000/(Inputs!$B$8*H7*I7))</f>
        <v>10.0467831848706</v>
      </c>
      <c r="K7" s="16" t="s">
        <v>186</v>
      </c>
      <c r="L7" s="26" t="n">
        <v>1</v>
      </c>
      <c r="M7" s="18" t="n">
        <f aca="false">IF(K7="Y",G7*L7/I7,0)</f>
        <v>6.13839285714286</v>
      </c>
      <c r="N7" s="18" t="n">
        <f aca="false">M7/H7</f>
        <v>7.22163865546218</v>
      </c>
      <c r="O7" s="19" t="n">
        <f aca="false">IF(C7="Motor",Inputs!$B$17,Inputs!$B$18)</f>
        <v>2</v>
      </c>
      <c r="P7" s="21" t="n">
        <f aca="false">J7*O7</f>
        <v>20.0935663697412</v>
      </c>
      <c r="Q7" s="27" t="n">
        <f aca="false">INDEX(Inputs!$H$5:$H$22,COUNTIF(Inputs!$H$5:$H$22,"&lt;"&amp;P7)+1)</f>
        <v>25</v>
      </c>
      <c r="R7" s="16" t="s">
        <v>187</v>
      </c>
      <c r="S7" s="9" t="str">
        <f aca="false">IF(C7&lt;&gt;"Motor","-",IF(F7&gt;=Inputs!$B$26,"Star-Delta","DOL"))</f>
        <v>Star-Delta</v>
      </c>
      <c r="T7" s="28" t="n">
        <v>30</v>
      </c>
      <c r="U7" s="21" t="n">
        <f aca="false">Q7/Inputs!$B$19</f>
        <v>28.735632183908</v>
      </c>
      <c r="V7" s="21" t="n">
        <f aca="false">INDEX(Inputs!$J$5:$J$19,COUNTIF(Inputs!$K$5:$K$19,"&lt;"&amp;U7)+1)</f>
        <v>2.5</v>
      </c>
      <c r="W7" s="27" t="n">
        <f aca="false">INDEX(Inputs!$K$5:$K$19,COUNTIF(Inputs!$K$5:$K$19,"&lt;"&amp;U7)+1)</f>
        <v>30</v>
      </c>
      <c r="X7" s="18" t="n">
        <f aca="false">INDEX(Inputs!$L$5:$L$19,COUNTIF(Inputs!$K$5:$K$19,"&lt;"&amp;U7)+1)*J7*T7/1000</f>
        <v>5.42526291983013</v>
      </c>
      <c r="Y7" s="29" t="n">
        <f aca="false">X7/IF(D7=3,Inputs!$B$6,Inputs!$B$8)</f>
        <v>0.0130729226983858</v>
      </c>
      <c r="Z7" s="9" t="str">
        <f aca="false">IF(Y7&lt;=IF(C7="Motor",Inputs!$B$20,Inputs!$B$21),"OK","EXCEEDS LIMIT - upsize cable")&amp;" - "&amp;"Counted as running: backwash may overlap with raw water pumping (conservative)"</f>
        <v>OK - Counted as running: backwash may overlap with raw water pumping (conservative)</v>
      </c>
    </row>
    <row r="8" customFormat="false" ht="15" hidden="false" customHeight="false" outlineLevel="0" collapsed="false">
      <c r="A8" s="6" t="s">
        <v>191</v>
      </c>
      <c r="B8" s="6" t="s">
        <v>145</v>
      </c>
      <c r="C8" s="16" t="s">
        <v>185</v>
      </c>
      <c r="D8" s="8" t="n">
        <v>3</v>
      </c>
      <c r="E8" s="8" t="n">
        <v>1</v>
      </c>
      <c r="F8" s="19" t="n">
        <f aca="false">'Pump Sizing'!M8</f>
        <v>5.5</v>
      </c>
      <c r="G8" s="18" t="n">
        <f aca="false">E8*F8</f>
        <v>5.5</v>
      </c>
      <c r="H8" s="19" t="n">
        <f aca="false">IF(C8="Motor",Inputs!$B$9,Inputs!$B$10)</f>
        <v>0.85</v>
      </c>
      <c r="I8" s="20" t="n">
        <f aca="false">IF(C8="Motor",Inputs!$B$11,1)</f>
        <v>0.896</v>
      </c>
      <c r="J8" s="21" t="n">
        <f aca="false">IF(D8=3,G8*1000/(SQRT(3)*Inputs!$B$6*H8*I8),G8*1000/(Inputs!$B$8*H8*I8))</f>
        <v>10.0467831848706</v>
      </c>
      <c r="K8" s="16" t="s">
        <v>189</v>
      </c>
      <c r="L8" s="26" t="n">
        <v>1</v>
      </c>
      <c r="M8" s="18" t="n">
        <f aca="false">IF(K8="Y",G8*L8/I8,0)</f>
        <v>0</v>
      </c>
      <c r="N8" s="18" t="n">
        <f aca="false">M8/H8</f>
        <v>0</v>
      </c>
      <c r="O8" s="19" t="n">
        <f aca="false">IF(C8="Motor",Inputs!$B$17,Inputs!$B$18)</f>
        <v>2</v>
      </c>
      <c r="P8" s="21" t="n">
        <f aca="false">J8*O8</f>
        <v>20.0935663697412</v>
      </c>
      <c r="Q8" s="27" t="n">
        <f aca="false">INDEX(Inputs!$H$5:$H$22,COUNTIF(Inputs!$H$5:$H$22,"&lt;"&amp;P8)+1)</f>
        <v>25</v>
      </c>
      <c r="R8" s="16" t="s">
        <v>187</v>
      </c>
      <c r="S8" s="9" t="str">
        <f aca="false">IF(C8&lt;&gt;"Motor","-",IF(F8&gt;=Inputs!$B$26,"Star-Delta","DOL"))</f>
        <v>Star-Delta</v>
      </c>
      <c r="T8" s="28" t="n">
        <v>30</v>
      </c>
      <c r="U8" s="21" t="n">
        <f aca="false">Q8/Inputs!$B$19</f>
        <v>28.735632183908</v>
      </c>
      <c r="V8" s="21" t="n">
        <f aca="false">INDEX(Inputs!$J$5:$J$19,COUNTIF(Inputs!$K$5:$K$19,"&lt;"&amp;U8)+1)</f>
        <v>2.5</v>
      </c>
      <c r="W8" s="27" t="n">
        <f aca="false">INDEX(Inputs!$K$5:$K$19,COUNTIF(Inputs!$K$5:$K$19,"&lt;"&amp;U8)+1)</f>
        <v>30</v>
      </c>
      <c r="X8" s="18" t="n">
        <f aca="false">INDEX(Inputs!$L$5:$L$19,COUNTIF(Inputs!$K$5:$K$19,"&lt;"&amp;U8)+1)*J8*T8/1000</f>
        <v>5.42526291983013</v>
      </c>
      <c r="Y8" s="29" t="n">
        <f aca="false">X8/IF(D8=3,Inputs!$B$6,Inputs!$B$8)</f>
        <v>0.0130729226983858</v>
      </c>
      <c r="Z8" s="9" t="str">
        <f aca="false">IF(Y8&lt;=IF(C8="Motor",Inputs!$B$20,Inputs!$B$21),"OK","EXCEEDS LIMIT - upsize cable")&amp;" - "&amp;"Standby - interlocked with MCC-3"</f>
        <v>OK - Standby - interlocked with MCC-3</v>
      </c>
    </row>
    <row r="9" customFormat="false" ht="15" hidden="false" customHeight="false" outlineLevel="0" collapsed="false">
      <c r="A9" s="6" t="s">
        <v>192</v>
      </c>
      <c r="B9" s="6" t="s">
        <v>148</v>
      </c>
      <c r="C9" s="16" t="s">
        <v>185</v>
      </c>
      <c r="D9" s="8" t="n">
        <v>3</v>
      </c>
      <c r="E9" s="8" t="n">
        <v>1</v>
      </c>
      <c r="F9" s="19" t="n">
        <f aca="false">'Pump Sizing'!M9</f>
        <v>5.5</v>
      </c>
      <c r="G9" s="18" t="n">
        <f aca="false">E9*F9</f>
        <v>5.5</v>
      </c>
      <c r="H9" s="19" t="n">
        <f aca="false">IF(C9="Motor",Inputs!$B$9,Inputs!$B$10)</f>
        <v>0.85</v>
      </c>
      <c r="I9" s="20" t="n">
        <f aca="false">IF(C9="Motor",Inputs!$B$11,1)</f>
        <v>0.896</v>
      </c>
      <c r="J9" s="21" t="n">
        <f aca="false">IF(D9=3,G9*1000/(SQRT(3)*Inputs!$B$6*H9*I9),G9*1000/(Inputs!$B$8*H9*I9))</f>
        <v>10.0467831848706</v>
      </c>
      <c r="K9" s="16" t="s">
        <v>186</v>
      </c>
      <c r="L9" s="26" t="n">
        <v>1</v>
      </c>
      <c r="M9" s="18" t="n">
        <f aca="false">IF(K9="Y",G9*L9/I9,0)</f>
        <v>6.13839285714286</v>
      </c>
      <c r="N9" s="18" t="n">
        <f aca="false">M9/H9</f>
        <v>7.22163865546218</v>
      </c>
      <c r="O9" s="19" t="n">
        <f aca="false">IF(C9="Motor",Inputs!$B$17,Inputs!$B$18)</f>
        <v>2</v>
      </c>
      <c r="P9" s="21" t="n">
        <f aca="false">J9*O9</f>
        <v>20.0935663697412</v>
      </c>
      <c r="Q9" s="27" t="n">
        <f aca="false">INDEX(Inputs!$H$5:$H$22,COUNTIF(Inputs!$H$5:$H$22,"&lt;"&amp;P9)+1)</f>
        <v>25</v>
      </c>
      <c r="R9" s="16" t="s">
        <v>187</v>
      </c>
      <c r="S9" s="9" t="str">
        <f aca="false">IF(C9&lt;&gt;"Motor","-",IF(F9&gt;=Inputs!$B$26,"Star-Delta","DOL"))</f>
        <v>Star-Delta</v>
      </c>
      <c r="T9" s="28" t="n">
        <v>40</v>
      </c>
      <c r="U9" s="21" t="n">
        <f aca="false">Q9/Inputs!$B$19</f>
        <v>28.735632183908</v>
      </c>
      <c r="V9" s="21" t="n">
        <f aca="false">INDEX(Inputs!$J$5:$J$19,COUNTIF(Inputs!$K$5:$K$19,"&lt;"&amp;U9)+1)</f>
        <v>2.5</v>
      </c>
      <c r="W9" s="27" t="n">
        <f aca="false">INDEX(Inputs!$K$5:$K$19,COUNTIF(Inputs!$K$5:$K$19,"&lt;"&amp;U9)+1)</f>
        <v>30</v>
      </c>
      <c r="X9" s="18" t="n">
        <f aca="false">INDEX(Inputs!$L$5:$L$19,COUNTIF(Inputs!$K$5:$K$19,"&lt;"&amp;U9)+1)*J9*T9/1000</f>
        <v>7.23368389310683</v>
      </c>
      <c r="Y9" s="29" t="n">
        <f aca="false">X9/IF(D9=3,Inputs!$B$6,Inputs!$B$8)</f>
        <v>0.0174305635978478</v>
      </c>
      <c r="Z9" s="9" t="str">
        <f aca="false">IF(Y9&lt;=IF(C9="Motor",Inputs!$B$20,Inputs!$B$21),"OK","EXCEEDS LIMIT - upsize cable")&amp;" - "&amp;"Longest run, to elevated tank side of shelter"</f>
        <v>OK - Longest run, to elevated tank side of shelter</v>
      </c>
    </row>
    <row r="10" customFormat="false" ht="23.85" hidden="false" customHeight="false" outlineLevel="0" collapsed="false">
      <c r="A10" s="6" t="s">
        <v>193</v>
      </c>
      <c r="B10" s="6" t="s">
        <v>194</v>
      </c>
      <c r="C10" s="16" t="s">
        <v>194</v>
      </c>
      <c r="D10" s="8" t="n">
        <v>1</v>
      </c>
      <c r="E10" s="8" t="n">
        <v>1</v>
      </c>
      <c r="F10" s="30" t="n">
        <v>1.5</v>
      </c>
      <c r="G10" s="18" t="n">
        <f aca="false">E10*F10</f>
        <v>1.5</v>
      </c>
      <c r="H10" s="19" t="n">
        <f aca="false">IF(C10="Motor",Inputs!$B$9,Inputs!$B$10)</f>
        <v>0.9</v>
      </c>
      <c r="I10" s="20" t="n">
        <f aca="false">IF(C10="Motor",Inputs!$B$11,1)</f>
        <v>1</v>
      </c>
      <c r="J10" s="21" t="n">
        <f aca="false">IF(D10=3,G10*1000/(SQRT(3)*Inputs!$B$6*H10*I10),G10*1000/(Inputs!$B$8*H10*I10))</f>
        <v>6.94444444444445</v>
      </c>
      <c r="K10" s="16" t="s">
        <v>186</v>
      </c>
      <c r="L10" s="19" t="n">
        <f aca="false">Inputs!$B$22</f>
        <v>0.8</v>
      </c>
      <c r="M10" s="18" t="n">
        <f aca="false">IF(K10="Y",G10*L10/I10,0)</f>
        <v>1.2</v>
      </c>
      <c r="N10" s="18" t="n">
        <f aca="false">M10/H10</f>
        <v>1.33333333333333</v>
      </c>
      <c r="O10" s="19" t="n">
        <f aca="false">IF(C10="Motor",Inputs!$B$17,Inputs!$B$18)</f>
        <v>1.25</v>
      </c>
      <c r="P10" s="21" t="n">
        <f aca="false">J10*O10</f>
        <v>8.68055555555556</v>
      </c>
      <c r="Q10" s="27" t="n">
        <f aca="false">INDEX(Inputs!$H$5:$H$22,COUNTIF(Inputs!$H$5:$H$22,"&lt;"&amp;P10)+1)</f>
        <v>10</v>
      </c>
      <c r="R10" s="16" t="s">
        <v>195</v>
      </c>
      <c r="S10" s="9" t="str">
        <f aca="false">IF(C10&lt;&gt;"Motor","-",IF(F10&gt;=Inputs!$B$26,"Star-Delta","DOL"))</f>
        <v>-</v>
      </c>
      <c r="T10" s="28" t="n">
        <v>25</v>
      </c>
      <c r="U10" s="21" t="n">
        <f aca="false">Q10/Inputs!$B$19</f>
        <v>11.4942528735632</v>
      </c>
      <c r="V10" s="21" t="n">
        <f aca="false">INDEX(Inputs!$J$5:$J$19,COUNTIF(Inputs!$K$5:$K$19,"&lt;"&amp;U10)+1)</f>
        <v>1.5</v>
      </c>
      <c r="W10" s="27" t="n">
        <f aca="false">INDEX(Inputs!$K$5:$K$19,COUNTIF(Inputs!$K$5:$K$19,"&lt;"&amp;U10)+1)</f>
        <v>22</v>
      </c>
      <c r="X10" s="18" t="n">
        <f aca="false">INDEX(Inputs!$L$5:$L$19,COUNTIF(Inputs!$K$5:$K$19,"&lt;"&amp;U10)+1)*J10*T10/1000</f>
        <v>5.03472222222222</v>
      </c>
      <c r="Y10" s="29" t="n">
        <f aca="false">X10/IF(D10=3,Inputs!$B$6,Inputs!$B$8)</f>
        <v>0.0209780092592593</v>
      </c>
      <c r="Z10" s="9" t="str">
        <f aca="false">IF(Y10&lt;=IF(C10="Motor",Inputs!$B$20,Inputs!$B$21),"OK","EXCEEDS LIMIT - upsize cable")&amp;" - "&amp;"Assumed 1.5 kW LED lighting (approx. 11 W/m2 x 132 m2). Drawing: MCB 1P 10A"</f>
        <v>OK - Assumed 1.5 kW LED lighting (approx. 11 W/m2 x 132 m2). Drawing: MCB 1P 10A</v>
      </c>
    </row>
    <row r="11" customFormat="false" ht="23.85" hidden="false" customHeight="false" outlineLevel="0" collapsed="false">
      <c r="A11" s="6" t="s">
        <v>196</v>
      </c>
      <c r="B11" s="6" t="s">
        <v>197</v>
      </c>
      <c r="C11" s="16" t="s">
        <v>198</v>
      </c>
      <c r="D11" s="8" t="n">
        <v>1</v>
      </c>
      <c r="E11" s="8" t="n">
        <v>1</v>
      </c>
      <c r="F11" s="30" t="n">
        <v>2</v>
      </c>
      <c r="G11" s="18" t="n">
        <f aca="false">E11*F11</f>
        <v>2</v>
      </c>
      <c r="H11" s="19" t="n">
        <f aca="false">IF(C11="Motor",Inputs!$B$9,Inputs!$B$10)</f>
        <v>0.9</v>
      </c>
      <c r="I11" s="20" t="n">
        <f aca="false">IF(C11="Motor",Inputs!$B$11,1)</f>
        <v>1</v>
      </c>
      <c r="J11" s="21" t="n">
        <f aca="false">IF(D11=3,G11*1000/(SQRT(3)*Inputs!$B$6*H11*I11),G11*1000/(Inputs!$B$8*H11*I11))</f>
        <v>9.25925925925926</v>
      </c>
      <c r="K11" s="16" t="s">
        <v>186</v>
      </c>
      <c r="L11" s="19" t="n">
        <f aca="false">Inputs!$B$22</f>
        <v>0.8</v>
      </c>
      <c r="M11" s="18" t="n">
        <f aca="false">IF(K11="Y",G11*L11/I11,0)</f>
        <v>1.6</v>
      </c>
      <c r="N11" s="18" t="n">
        <f aca="false">M11/H11</f>
        <v>1.77777777777778</v>
      </c>
      <c r="O11" s="19" t="n">
        <f aca="false">IF(C11="Motor",Inputs!$B$17,Inputs!$B$18)</f>
        <v>1.25</v>
      </c>
      <c r="P11" s="21" t="n">
        <f aca="false">J11*O11</f>
        <v>11.5740740740741</v>
      </c>
      <c r="Q11" s="27" t="n">
        <f aca="false">INDEX(Inputs!$H$5:$H$22,COUNTIF(Inputs!$H$5:$H$22,"&lt;"&amp;P11)+1)</f>
        <v>16</v>
      </c>
      <c r="R11" s="16" t="s">
        <v>195</v>
      </c>
      <c r="S11" s="9" t="str">
        <f aca="false">IF(C11&lt;&gt;"Motor","-",IF(F11&gt;=Inputs!$B$26,"Star-Delta","DOL"))</f>
        <v>-</v>
      </c>
      <c r="T11" s="28" t="n">
        <v>25</v>
      </c>
      <c r="U11" s="21" t="n">
        <f aca="false">Q11/Inputs!$B$19</f>
        <v>18.3908045977012</v>
      </c>
      <c r="V11" s="21" t="n">
        <f aca="false">INDEX(Inputs!$J$5:$J$19,COUNTIF(Inputs!$K$5:$K$19,"&lt;"&amp;U11)+1)</f>
        <v>1.5</v>
      </c>
      <c r="W11" s="27" t="n">
        <f aca="false">INDEX(Inputs!$K$5:$K$19,COUNTIF(Inputs!$K$5:$K$19,"&lt;"&amp;U11)+1)</f>
        <v>22</v>
      </c>
      <c r="X11" s="18" t="n">
        <f aca="false">INDEX(Inputs!$L$5:$L$19,COUNTIF(Inputs!$K$5:$K$19,"&lt;"&amp;U11)+1)*J11*T11/1000</f>
        <v>6.71296296296296</v>
      </c>
      <c r="Y11" s="29" t="n">
        <f aca="false">X11/IF(D11=3,Inputs!$B$6,Inputs!$B$8)</f>
        <v>0.0279706790123457</v>
      </c>
      <c r="Z11" s="9" t="str">
        <f aca="false">IF(Y11&lt;=IF(C11="Motor",Inputs!$B$20,Inputs!$B$21),"OK","EXCEEDS LIMIT - upsize cable")&amp;" - "&amp;"Assumed 2.0 kW allowance. Drawing: MCB 1P 10A"</f>
        <v>OK - Assumed 2.0 kW allowance. Drawing: MCB 1P 10A</v>
      </c>
    </row>
    <row r="12" customFormat="false" ht="23.85" hidden="false" customHeight="false" outlineLevel="0" collapsed="false">
      <c r="A12" s="6" t="s">
        <v>199</v>
      </c>
      <c r="B12" s="6" t="s">
        <v>200</v>
      </c>
      <c r="C12" s="16" t="s">
        <v>185</v>
      </c>
      <c r="D12" s="8" t="n">
        <v>1</v>
      </c>
      <c r="E12" s="8" t="n">
        <v>4</v>
      </c>
      <c r="F12" s="30" t="n">
        <v>0.12</v>
      </c>
      <c r="G12" s="18" t="n">
        <f aca="false">E12*F12</f>
        <v>0.48</v>
      </c>
      <c r="H12" s="19" t="n">
        <f aca="false">IF(C12="Motor",Inputs!$B$9,Inputs!$B$10)</f>
        <v>0.85</v>
      </c>
      <c r="I12" s="20" t="n">
        <f aca="false">IF(C12="Motor",Inputs!$B$11,1)</f>
        <v>0.896</v>
      </c>
      <c r="J12" s="21" t="n">
        <f aca="false">IF(D12=3,G12*1000/(SQRT(3)*Inputs!$B$6*H12*I12),G12*1000/(Inputs!$B$8*H12*I12))</f>
        <v>2.62605042016807</v>
      </c>
      <c r="K12" s="16" t="s">
        <v>186</v>
      </c>
      <c r="L12" s="26" t="n">
        <v>1</v>
      </c>
      <c r="M12" s="18" t="n">
        <f aca="false">IF(K12="Y",G12*L12/I12,0)</f>
        <v>0.535714285714286</v>
      </c>
      <c r="N12" s="18" t="n">
        <f aca="false">M12/H12</f>
        <v>0.630252100840336</v>
      </c>
      <c r="O12" s="19" t="n">
        <f aca="false">IF(C12="Motor",Inputs!$B$17,Inputs!$B$18)</f>
        <v>2</v>
      </c>
      <c r="P12" s="21" t="n">
        <f aca="false">J12*O12</f>
        <v>5.25210084033613</v>
      </c>
      <c r="Q12" s="27" t="n">
        <f aca="false">INDEX(Inputs!$H$5:$H$22,COUNTIF(Inputs!$H$5:$H$22,"&lt;"&amp;P12)+1)</f>
        <v>6</v>
      </c>
      <c r="R12" s="16" t="s">
        <v>195</v>
      </c>
      <c r="S12" s="9" t="str">
        <f aca="false">IF(C12&lt;&gt;"Motor","-",IF(F12&gt;=Inputs!$B$26,"Star-Delta","DOL"))</f>
        <v>DOL</v>
      </c>
      <c r="T12" s="28" t="n">
        <v>20</v>
      </c>
      <c r="U12" s="21" t="n">
        <f aca="false">Q12/Inputs!$B$19</f>
        <v>6.89655172413793</v>
      </c>
      <c r="V12" s="21" t="n">
        <f aca="false">INDEX(Inputs!$J$5:$J$19,COUNTIF(Inputs!$K$5:$K$19,"&lt;"&amp;U12)+1)</f>
        <v>1.5</v>
      </c>
      <c r="W12" s="27" t="n">
        <f aca="false">INDEX(Inputs!$K$5:$K$19,COUNTIF(Inputs!$K$5:$K$19,"&lt;"&amp;U12)+1)</f>
        <v>22</v>
      </c>
      <c r="X12" s="18" t="n">
        <f aca="false">INDEX(Inputs!$L$5:$L$19,COUNTIF(Inputs!$K$5:$K$19,"&lt;"&amp;U12)+1)*J12*T12/1000</f>
        <v>1.52310924369748</v>
      </c>
      <c r="Y12" s="29" t="n">
        <f aca="false">X12/IF(D12=3,Inputs!$B$6,Inputs!$B$8)</f>
        <v>0.00634628851540616</v>
      </c>
      <c r="Z12" s="9" t="str">
        <f aca="false">IF(Y12&lt;=IF(C12="Motor",Inputs!$B$20,Inputs!$B$21),"OK","EXCEEDS LIMIT - upsize cable")&amp;" - "&amp;"Assumed 0.12 kW each diaphragm dosing pump. Drawing: MCB 1P 6A"</f>
        <v>OK - Assumed 0.12 kW each diaphragm dosing pump. Drawing: MCB 1P 6A</v>
      </c>
    </row>
    <row r="13" customFormat="false" ht="23.85" hidden="false" customHeight="false" outlineLevel="0" collapsed="false">
      <c r="A13" s="6" t="s">
        <v>201</v>
      </c>
      <c r="B13" s="6" t="s">
        <v>202</v>
      </c>
      <c r="C13" s="16" t="s">
        <v>185</v>
      </c>
      <c r="D13" s="8" t="n">
        <v>1</v>
      </c>
      <c r="E13" s="8" t="n">
        <v>4</v>
      </c>
      <c r="F13" s="30" t="n">
        <v>0.37</v>
      </c>
      <c r="G13" s="18" t="n">
        <f aca="false">E13*F13</f>
        <v>1.48</v>
      </c>
      <c r="H13" s="19" t="n">
        <f aca="false">IF(C13="Motor",Inputs!$B$9,Inputs!$B$10)</f>
        <v>0.85</v>
      </c>
      <c r="I13" s="20" t="n">
        <f aca="false">IF(C13="Motor",Inputs!$B$11,1)</f>
        <v>0.896</v>
      </c>
      <c r="J13" s="21" t="n">
        <f aca="false">IF(D13=3,G13*1000/(SQRT(3)*Inputs!$B$6*H13*I13),G13*1000/(Inputs!$B$8*H13*I13))</f>
        <v>8.09698879551821</v>
      </c>
      <c r="K13" s="16" t="s">
        <v>186</v>
      </c>
      <c r="L13" s="26" t="n">
        <v>1</v>
      </c>
      <c r="M13" s="18" t="n">
        <f aca="false">IF(K13="Y",G13*L13/I13,0)</f>
        <v>1.65178571428571</v>
      </c>
      <c r="N13" s="18" t="n">
        <f aca="false">M13/H13</f>
        <v>1.94327731092437</v>
      </c>
      <c r="O13" s="19" t="n">
        <f aca="false">IF(C13="Motor",Inputs!$B$17,Inputs!$B$18)</f>
        <v>2</v>
      </c>
      <c r="P13" s="21" t="n">
        <f aca="false">J13*O13</f>
        <v>16.1939775910364</v>
      </c>
      <c r="Q13" s="27" t="n">
        <f aca="false">INDEX(Inputs!$H$5:$H$22,COUNTIF(Inputs!$H$5:$H$22,"&lt;"&amp;P13)+1)</f>
        <v>20</v>
      </c>
      <c r="R13" s="16" t="s">
        <v>195</v>
      </c>
      <c r="S13" s="9" t="str">
        <f aca="false">IF(C13&lt;&gt;"Motor","-",IF(F13&gt;=Inputs!$B$26,"Star-Delta","DOL"))</f>
        <v>DOL</v>
      </c>
      <c r="T13" s="28" t="n">
        <v>20</v>
      </c>
      <c r="U13" s="21" t="n">
        <f aca="false">Q13/Inputs!$B$19</f>
        <v>22.9885057471264</v>
      </c>
      <c r="V13" s="21" t="n">
        <f aca="false">INDEX(Inputs!$J$5:$J$19,COUNTIF(Inputs!$K$5:$K$19,"&lt;"&amp;U13)+1)</f>
        <v>2.5</v>
      </c>
      <c r="W13" s="27" t="n">
        <f aca="false">INDEX(Inputs!$K$5:$K$19,COUNTIF(Inputs!$K$5:$K$19,"&lt;"&amp;U13)+1)</f>
        <v>30</v>
      </c>
      <c r="X13" s="18" t="n">
        <f aca="false">INDEX(Inputs!$L$5:$L$19,COUNTIF(Inputs!$K$5:$K$19,"&lt;"&amp;U13)+1)*J13*T13/1000</f>
        <v>2.91491596638655</v>
      </c>
      <c r="Y13" s="29" t="n">
        <f aca="false">X13/IF(D13=3,Inputs!$B$6,Inputs!$B$8)</f>
        <v>0.0121454831932773</v>
      </c>
      <c r="Z13" s="9" t="str">
        <f aca="false">IF(Y13&lt;=IF(C13="Motor",Inputs!$B$20,Inputs!$B$21),"OK","EXCEEDS LIMIT - upsize cable")&amp;" - "&amp;"Assumed 0.37 kW each. Drawing: MCB 1P 6A"</f>
        <v>OK - Assumed 0.37 kW each. Drawing: MCB 1P 6A</v>
      </c>
    </row>
    <row r="14" customFormat="false" ht="23.85" hidden="false" customHeight="false" outlineLevel="0" collapsed="false">
      <c r="A14" s="6" t="s">
        <v>203</v>
      </c>
      <c r="B14" s="6" t="s">
        <v>204</v>
      </c>
      <c r="C14" s="16" t="s">
        <v>198</v>
      </c>
      <c r="D14" s="8" t="n">
        <v>1</v>
      </c>
      <c r="E14" s="8" t="n">
        <v>1</v>
      </c>
      <c r="F14" s="30" t="n">
        <v>0.5</v>
      </c>
      <c r="G14" s="18" t="n">
        <f aca="false">E14*F14</f>
        <v>0.5</v>
      </c>
      <c r="H14" s="19" t="n">
        <f aca="false">IF(C14="Motor",Inputs!$B$9,Inputs!$B$10)</f>
        <v>0.9</v>
      </c>
      <c r="I14" s="20" t="n">
        <f aca="false">IF(C14="Motor",Inputs!$B$11,1)</f>
        <v>1</v>
      </c>
      <c r="J14" s="21" t="n">
        <f aca="false">IF(D14=3,G14*1000/(SQRT(3)*Inputs!$B$6*H14*I14),G14*1000/(Inputs!$B$8*H14*I14))</f>
        <v>2.31481481481482</v>
      </c>
      <c r="K14" s="16" t="s">
        <v>186</v>
      </c>
      <c r="L14" s="26" t="n">
        <v>1</v>
      </c>
      <c r="M14" s="18" t="n">
        <f aca="false">IF(K14="Y",G14*L14/I14,0)</f>
        <v>0.5</v>
      </c>
      <c r="N14" s="18" t="n">
        <f aca="false">M14/H14</f>
        <v>0.555555555555556</v>
      </c>
      <c r="O14" s="19" t="n">
        <f aca="false">IF(C14="Motor",Inputs!$B$17,Inputs!$B$18)</f>
        <v>1.25</v>
      </c>
      <c r="P14" s="21" t="n">
        <f aca="false">J14*O14</f>
        <v>2.89351851851852</v>
      </c>
      <c r="Q14" s="27" t="n">
        <f aca="false">INDEX(Inputs!$H$5:$H$22,COUNTIF(Inputs!$H$5:$H$22,"&lt;"&amp;P14)+1)</f>
        <v>6</v>
      </c>
      <c r="R14" s="16" t="s">
        <v>195</v>
      </c>
      <c r="S14" s="9" t="str">
        <f aca="false">IF(C14&lt;&gt;"Motor","-",IF(F14&gt;=Inputs!$B$26,"Star-Delta","DOL"))</f>
        <v>-</v>
      </c>
      <c r="T14" s="28" t="n">
        <v>10</v>
      </c>
      <c r="U14" s="21" t="n">
        <f aca="false">Q14/Inputs!$B$19</f>
        <v>6.89655172413793</v>
      </c>
      <c r="V14" s="21" t="n">
        <f aca="false">INDEX(Inputs!$J$5:$J$19,COUNTIF(Inputs!$K$5:$K$19,"&lt;"&amp;U14)+1)</f>
        <v>1.5</v>
      </c>
      <c r="W14" s="27" t="n">
        <f aca="false">INDEX(Inputs!$K$5:$K$19,COUNTIF(Inputs!$K$5:$K$19,"&lt;"&amp;U14)+1)</f>
        <v>22</v>
      </c>
      <c r="X14" s="18" t="n">
        <f aca="false">INDEX(Inputs!$L$5:$L$19,COUNTIF(Inputs!$K$5:$K$19,"&lt;"&amp;U14)+1)*J14*T14/1000</f>
        <v>0.671296296296296</v>
      </c>
      <c r="Y14" s="29" t="n">
        <f aca="false">X14/IF(D14=3,Inputs!$B$6,Inputs!$B$8)</f>
        <v>0.00279706790123457</v>
      </c>
      <c r="Z14" s="9" t="str">
        <f aca="false">IF(Y14&lt;=IF(C14="Motor",Inputs!$B$20,Inputs!$B$21),"OK","EXCEEDS LIMIT - upsize cable")&amp;" - "&amp;"Not shown on drawing - added as assumed load for auto operation"</f>
        <v>OK - Not shown on drawing - added as assumed load for auto operation</v>
      </c>
    </row>
    <row r="15" customFormat="false" ht="23.85" hidden="false" customHeight="false" outlineLevel="0" collapsed="false">
      <c r="A15" s="6" t="s">
        <v>205</v>
      </c>
      <c r="B15" s="6" t="s">
        <v>206</v>
      </c>
      <c r="C15" s="16" t="s">
        <v>198</v>
      </c>
      <c r="D15" s="8" t="n">
        <v>1</v>
      </c>
      <c r="E15" s="8" t="n">
        <v>1</v>
      </c>
      <c r="F15" s="30" t="n">
        <v>0.5</v>
      </c>
      <c r="G15" s="18" t="n">
        <f aca="false">E15*F15</f>
        <v>0.5</v>
      </c>
      <c r="H15" s="19" t="n">
        <f aca="false">IF(C15="Motor",Inputs!$B$9,Inputs!$B$10)</f>
        <v>0.9</v>
      </c>
      <c r="I15" s="20" t="n">
        <f aca="false">IF(C15="Motor",Inputs!$B$11,1)</f>
        <v>1</v>
      </c>
      <c r="J15" s="21" t="n">
        <f aca="false">IF(D15=3,G15*1000/(SQRT(3)*Inputs!$B$6*H15*I15),G15*1000/(Inputs!$B$8*H15*I15))</f>
        <v>2.31481481481482</v>
      </c>
      <c r="K15" s="16" t="s">
        <v>189</v>
      </c>
      <c r="L15" s="26" t="n">
        <v>1</v>
      </c>
      <c r="M15" s="18" t="n">
        <f aca="false">IF(K15="Y",G15*L15/I15,0)</f>
        <v>0</v>
      </c>
      <c r="N15" s="18" t="n">
        <f aca="false">M15/H15</f>
        <v>0</v>
      </c>
      <c r="O15" s="19" t="n">
        <f aca="false">IF(C15="Motor",Inputs!$B$17,Inputs!$B$18)</f>
        <v>1.25</v>
      </c>
      <c r="P15" s="21" t="n">
        <f aca="false">J15*O15</f>
        <v>2.89351851851852</v>
      </c>
      <c r="Q15" s="27" t="n">
        <f aca="false">INDEX(Inputs!$H$5:$H$22,COUNTIF(Inputs!$H$5:$H$22,"&lt;"&amp;P15)+1)</f>
        <v>6</v>
      </c>
      <c r="R15" s="16" t="s">
        <v>195</v>
      </c>
      <c r="S15" s="9" t="str">
        <f aca="false">IF(C15&lt;&gt;"Motor","-",IF(F15&gt;=Inputs!$B$26,"Star-Delta","DOL"))</f>
        <v>-</v>
      </c>
      <c r="T15" s="28" t="n">
        <v>20</v>
      </c>
      <c r="U15" s="21" t="n">
        <f aca="false">Q15/Inputs!$B$19</f>
        <v>6.89655172413793</v>
      </c>
      <c r="V15" s="21" t="n">
        <f aca="false">INDEX(Inputs!$J$5:$J$19,COUNTIF(Inputs!$K$5:$K$19,"&lt;"&amp;U15)+1)</f>
        <v>1.5</v>
      </c>
      <c r="W15" s="27" t="n">
        <f aca="false">INDEX(Inputs!$K$5:$K$19,COUNTIF(Inputs!$K$5:$K$19,"&lt;"&amp;U15)+1)</f>
        <v>22</v>
      </c>
      <c r="X15" s="18" t="n">
        <f aca="false">INDEX(Inputs!$L$5:$L$19,COUNTIF(Inputs!$K$5:$K$19,"&lt;"&amp;U15)+1)*J15*T15/1000</f>
        <v>1.34259259259259</v>
      </c>
      <c r="Y15" s="29" t="n">
        <f aca="false">X15/IF(D15=3,Inputs!$B$6,Inputs!$B$8)</f>
        <v>0.00559413580246914</v>
      </c>
      <c r="Z15" s="9" t="str">
        <f aca="false">IF(Y15&lt;=IF(C15="Motor",Inputs!$B$20,Inputs!$B$21),"OK","EXCEEDS LIMIT - upsize cable")&amp;" - "&amp;"Spare way. Drawing: MCB 1P 6A"</f>
        <v>OK - Spare way. Drawing: MCB 1P 6A</v>
      </c>
    </row>
    <row r="16" customFormat="false" ht="15" hidden="false" customHeight="false" outlineLevel="0" collapsed="false">
      <c r="B16" s="22" t="s">
        <v>207</v>
      </c>
      <c r="G16" s="23" t="n">
        <f aca="false">SUM(G5:G15)</f>
        <v>33.96</v>
      </c>
      <c r="J16" s="31" t="n">
        <f aca="false">N16*1000/(SQRT(3)*Inputs!$B$6)</f>
        <v>38.821744459861</v>
      </c>
      <c r="M16" s="23" t="n">
        <f aca="false">SUM(M5:M15)</f>
        <v>23.9026785714286</v>
      </c>
      <c r="N16" s="23" t="n">
        <f aca="false">SUM(N5:N15)</f>
        <v>27.9051120448179</v>
      </c>
    </row>
    <row r="18" customFormat="false" ht="15" hidden="false" customHeight="false" outlineLevel="0" collapsed="false">
      <c r="A18" s="24" t="s">
        <v>208</v>
      </c>
    </row>
    <row r="19" customFormat="false" ht="15" hidden="false" customHeight="false" outlineLevel="0" collapsed="false">
      <c r="A19" s="25" t="s">
        <v>209</v>
      </c>
    </row>
    <row r="20" customFormat="false" ht="15" hidden="false" customHeight="false" outlineLevel="0" collapsed="false">
      <c r="A20" s="25" t="s">
        <v>210</v>
      </c>
    </row>
    <row r="21" customFormat="false" ht="15" hidden="false" customHeight="false" outlineLevel="0" collapsed="false">
      <c r="A21" s="25" t="s">
        <v>211</v>
      </c>
    </row>
    <row r="22" customFormat="false" ht="15" hidden="false" customHeight="false" outlineLevel="0" collapsed="false">
      <c r="A22" s="25" t="s">
        <v>212</v>
      </c>
    </row>
    <row r="23" customFormat="false" ht="15" hidden="false" customHeight="false" outlineLevel="0" collapsed="false">
      <c r="A23" s="25" t="s">
        <v>213</v>
      </c>
    </row>
    <row r="24" customFormat="false" ht="15" hidden="false" customHeight="false" outlineLevel="0" collapsed="false">
      <c r="A24" s="25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217</v>
      </c>
    </row>
    <row r="5" customFormat="false" ht="15" hidden="false" customHeight="false" outlineLevel="0" collapsed="false">
      <c r="A5" s="4" t="s">
        <v>218</v>
      </c>
      <c r="B5" s="5"/>
      <c r="C5" s="5"/>
      <c r="D5" s="5"/>
    </row>
    <row r="6" customFormat="false" ht="15" hidden="false" customHeight="false" outlineLevel="0" collapsed="false">
      <c r="A6" s="6" t="s">
        <v>219</v>
      </c>
      <c r="B6" s="32" t="n">
        <f aca="false">'Load Schedule'!G16</f>
        <v>33.96</v>
      </c>
      <c r="C6" s="6" t="s">
        <v>8</v>
      </c>
      <c r="D6" s="6" t="s">
        <v>220</v>
      </c>
    </row>
    <row r="7" customFormat="false" ht="23.85" hidden="false" customHeight="false" outlineLevel="0" collapsed="false">
      <c r="A7" s="6" t="s">
        <v>221</v>
      </c>
      <c r="B7" s="32" t="n">
        <f aca="false">'Load Schedule'!M16</f>
        <v>23.9026785714286</v>
      </c>
      <c r="C7" s="6" t="s">
        <v>8</v>
      </c>
      <c r="D7" s="6" t="s">
        <v>222</v>
      </c>
    </row>
    <row r="8" customFormat="false" ht="15" hidden="false" customHeight="false" outlineLevel="0" collapsed="false">
      <c r="A8" s="6" t="s">
        <v>223</v>
      </c>
      <c r="B8" s="32" t="n">
        <f aca="false">'Load Schedule'!N16</f>
        <v>27.9051120448179</v>
      </c>
      <c r="C8" s="6" t="s">
        <v>29</v>
      </c>
      <c r="D8" s="6" t="s">
        <v>224</v>
      </c>
    </row>
    <row r="9" customFormat="false" ht="15" hidden="false" customHeight="false" outlineLevel="0" collapsed="false">
      <c r="A9" s="6" t="s">
        <v>225</v>
      </c>
      <c r="B9" s="9" t="n">
        <f aca="false">IFERROR(B7/B8,0)</f>
        <v>0.856569883433504</v>
      </c>
      <c r="C9" s="6" t="s">
        <v>62</v>
      </c>
      <c r="D9" s="6" t="s">
        <v>226</v>
      </c>
    </row>
    <row r="10" customFormat="false" ht="15" hidden="false" customHeight="false" outlineLevel="0" collapsed="false">
      <c r="A10" s="6" t="s">
        <v>31</v>
      </c>
      <c r="B10" s="32" t="n">
        <f aca="false">B8*1000/(SQRT(3)*Inputs!$B$6)</f>
        <v>38.821744459861</v>
      </c>
      <c r="C10" s="6" t="s">
        <v>20</v>
      </c>
      <c r="D10" s="6" t="s">
        <v>227</v>
      </c>
    </row>
    <row r="11" customFormat="false" ht="15" hidden="false" customHeight="false" outlineLevel="0" collapsed="false">
      <c r="A11" s="4" t="s">
        <v>228</v>
      </c>
      <c r="B11" s="5"/>
      <c r="C11" s="5"/>
      <c r="D11" s="5"/>
    </row>
    <row r="12" customFormat="false" ht="15" hidden="false" customHeight="false" outlineLevel="0" collapsed="false">
      <c r="A12" s="6" t="s">
        <v>229</v>
      </c>
      <c r="B12" s="33" t="n">
        <f aca="false">Inputs!$B$23</f>
        <v>0.25</v>
      </c>
      <c r="C12" s="6" t="s">
        <v>62</v>
      </c>
      <c r="D12" s="6" t="s">
        <v>230</v>
      </c>
    </row>
    <row r="13" customFormat="false" ht="15" hidden="false" customHeight="false" outlineLevel="0" collapsed="false">
      <c r="A13" s="6" t="s">
        <v>231</v>
      </c>
      <c r="B13" s="32" t="n">
        <f aca="false">B10*(1+B12)</f>
        <v>48.5271805748262</v>
      </c>
      <c r="C13" s="6" t="s">
        <v>20</v>
      </c>
      <c r="D13" s="6" t="s">
        <v>232</v>
      </c>
    </row>
    <row r="14" customFormat="false" ht="15" hidden="false" customHeight="false" outlineLevel="0" collapsed="false">
      <c r="A14" s="6" t="s">
        <v>233</v>
      </c>
      <c r="B14" s="32" t="n">
        <f aca="false">MAX('Load Schedule'!J5:J9)</f>
        <v>10.0467831848706</v>
      </c>
      <c r="C14" s="6" t="s">
        <v>20</v>
      </c>
      <c r="D14" s="6" t="s">
        <v>234</v>
      </c>
    </row>
    <row r="15" customFormat="false" ht="15" hidden="false" customHeight="false" outlineLevel="0" collapsed="false">
      <c r="A15" s="6" t="s">
        <v>235</v>
      </c>
      <c r="B15" s="32" t="n">
        <f aca="false">B14*Inputs!$B$25</f>
        <v>20.0935663697412</v>
      </c>
      <c r="C15" s="6" t="s">
        <v>20</v>
      </c>
      <c r="D15" s="6" t="s">
        <v>236</v>
      </c>
    </row>
    <row r="16" customFormat="false" ht="23.85" hidden="false" customHeight="false" outlineLevel="0" collapsed="false">
      <c r="A16" s="6" t="s">
        <v>237</v>
      </c>
      <c r="B16" s="32" t="n">
        <f aca="false">B10-B14+B15</f>
        <v>48.8685276447316</v>
      </c>
      <c r="C16" s="6" t="s">
        <v>20</v>
      </c>
      <c r="D16" s="6" t="s">
        <v>238</v>
      </c>
    </row>
    <row r="17" customFormat="false" ht="15" hidden="false" customHeight="false" outlineLevel="0" collapsed="false">
      <c r="A17" s="4" t="s">
        <v>239</v>
      </c>
      <c r="B17" s="5"/>
      <c r="C17" s="5"/>
      <c r="D17" s="5"/>
    </row>
    <row r="18" customFormat="false" ht="15" hidden="false" customHeight="false" outlineLevel="0" collapsed="false">
      <c r="A18" s="6" t="s">
        <v>240</v>
      </c>
      <c r="B18" s="32" t="n">
        <f aca="false">INDEX(Inputs!$H$5:$H$22,COUNTIF(Inputs!$H$5:$H$22,"&lt;"&amp;B13)+1)</f>
        <v>50</v>
      </c>
      <c r="C18" s="6" t="s">
        <v>20</v>
      </c>
      <c r="D18" s="6" t="s">
        <v>241</v>
      </c>
    </row>
    <row r="19" customFormat="false" ht="15" hidden="false" customHeight="false" outlineLevel="0" collapsed="false">
      <c r="A19" s="6" t="s">
        <v>242</v>
      </c>
      <c r="B19" s="34" t="n">
        <v>225</v>
      </c>
      <c r="C19" s="6" t="s">
        <v>20</v>
      </c>
      <c r="D19" s="6" t="s">
        <v>243</v>
      </c>
    </row>
    <row r="20" customFormat="false" ht="15" hidden="false" customHeight="false" outlineLevel="0" collapsed="false">
      <c r="A20" s="6" t="s">
        <v>244</v>
      </c>
      <c r="B20" s="35" t="n">
        <f aca="false">B10/B19</f>
        <v>0.172541086488271</v>
      </c>
      <c r="C20" s="6" t="s">
        <v>85</v>
      </c>
      <c r="D20" s="6" t="s">
        <v>245</v>
      </c>
    </row>
    <row r="21" customFormat="false" ht="23.85" hidden="false" customHeight="false" outlineLevel="0" collapsed="false">
      <c r="A21" s="6" t="s">
        <v>33</v>
      </c>
      <c r="B21" s="32" t="n">
        <f aca="false">MAX(B18,63)</f>
        <v>63</v>
      </c>
      <c r="C21" s="6" t="s">
        <v>20</v>
      </c>
      <c r="D21" s="6" t="s">
        <v>246</v>
      </c>
    </row>
    <row r="22" customFormat="false" ht="124.6" hidden="false" customHeight="false" outlineLevel="0" collapsed="false">
      <c r="A22" s="6" t="s">
        <v>247</v>
      </c>
      <c r="B22" s="9" t="str">
        <f aca="false">IF(B19&gt;=B18,"Adequate - oversized by "&amp;TEXT(B19/B18,"0.0")&amp;"x; acceptable if TNB connected load and metering CT are matched, otherwise reduce to recommended rating","UNDERSIZED - increase")</f>
        <v>Adequate - oversized by 4.5x; acceptable if TNB connected load and metering CT are matched, otherwise reduce to recommended rating</v>
      </c>
      <c r="C22" s="6" t="s">
        <v>62</v>
      </c>
      <c r="D22" s="6" t="s">
        <v>248</v>
      </c>
    </row>
    <row r="23" customFormat="false" ht="15" hidden="false" customHeight="false" outlineLevel="0" collapsed="false">
      <c r="A23" s="4" t="s">
        <v>249</v>
      </c>
      <c r="B23" s="5"/>
      <c r="C23" s="5"/>
      <c r="D23" s="5"/>
    </row>
    <row r="24" customFormat="false" ht="15" hidden="false" customHeight="false" outlineLevel="0" collapsed="false">
      <c r="A24" s="6" t="s">
        <v>250</v>
      </c>
      <c r="B24" s="12" t="n">
        <v>25</v>
      </c>
      <c r="C24" s="6" t="s">
        <v>251</v>
      </c>
      <c r="D24" s="6" t="s">
        <v>252</v>
      </c>
    </row>
    <row r="25" customFormat="false" ht="15" hidden="false" customHeight="false" outlineLevel="0" collapsed="false">
      <c r="A25" s="6" t="s">
        <v>253</v>
      </c>
      <c r="B25" s="32" t="n">
        <f aca="false">B21/Inputs!$B$19</f>
        <v>72.4137931034483</v>
      </c>
      <c r="C25" s="6" t="s">
        <v>20</v>
      </c>
      <c r="D25" s="6" t="s">
        <v>254</v>
      </c>
    </row>
    <row r="26" customFormat="false" ht="15" hidden="false" customHeight="false" outlineLevel="0" collapsed="false">
      <c r="A26" s="6" t="s">
        <v>255</v>
      </c>
      <c r="B26" s="32" t="n">
        <f aca="false">INDEX(Inputs!$J$5:$J$19,COUNTIF(Inputs!$K$5:$K$19,"&lt;"&amp;B25)+1)</f>
        <v>16</v>
      </c>
      <c r="C26" s="6" t="s">
        <v>24</v>
      </c>
      <c r="D26" s="6" t="s">
        <v>256</v>
      </c>
    </row>
    <row r="27" customFormat="false" ht="15" hidden="false" customHeight="false" outlineLevel="0" collapsed="false">
      <c r="A27" s="6" t="s">
        <v>257</v>
      </c>
      <c r="B27" s="32" t="n">
        <f aca="false">INDEX(Inputs!$K$5:$K$19,COUNTIF(Inputs!$K$5:$K$19,"&lt;"&amp;B25)+1)</f>
        <v>94</v>
      </c>
      <c r="C27" s="6" t="s">
        <v>20</v>
      </c>
      <c r="D27" s="6"/>
    </row>
    <row r="28" customFormat="false" ht="15" hidden="false" customHeight="false" outlineLevel="0" collapsed="false">
      <c r="A28" s="6" t="s">
        <v>258</v>
      </c>
      <c r="B28" s="32" t="n">
        <f aca="false">INDEX(Inputs!$L$5:$L$19,COUNTIF(Inputs!$K$5:$K$19,"&lt;"&amp;B25)+1)*B13*B24/1000</f>
        <v>3.39690264023783</v>
      </c>
      <c r="C28" s="6" t="s">
        <v>54</v>
      </c>
      <c r="D28" s="6" t="s">
        <v>259</v>
      </c>
    </row>
    <row r="29" customFormat="false" ht="23.85" hidden="false" customHeight="false" outlineLevel="0" collapsed="false">
      <c r="A29" s="6" t="s">
        <v>260</v>
      </c>
      <c r="B29" s="35" t="n">
        <f aca="false">B28/Inputs!$B$6</f>
        <v>0.00818530756683815</v>
      </c>
      <c r="C29" s="6" t="s">
        <v>85</v>
      </c>
      <c r="D29" s="6" t="s">
        <v>261</v>
      </c>
    </row>
    <row r="30" customFormat="false" ht="15" hidden="false" customHeight="false" outlineLevel="0" collapsed="false">
      <c r="A30" s="6" t="s">
        <v>262</v>
      </c>
      <c r="B30" s="9" t="str">
        <f aca="false">IF(B29&lt;=Inputs!$B$20,"OK","EXCEEDS - upsize cable")</f>
        <v>OK</v>
      </c>
      <c r="C30" s="6" t="s">
        <v>62</v>
      </c>
      <c r="D30" s="6"/>
    </row>
    <row r="31" customFormat="false" ht="15" hidden="false" customHeight="false" outlineLevel="0" collapsed="false">
      <c r="A31" s="4" t="s">
        <v>263</v>
      </c>
      <c r="B31" s="5"/>
      <c r="C31" s="5"/>
      <c r="D31" s="5"/>
    </row>
    <row r="32" customFormat="false" ht="35.05" hidden="false" customHeight="false" outlineLevel="0" collapsed="false">
      <c r="A32" s="6" t="s">
        <v>264</v>
      </c>
      <c r="B32" s="16" t="s">
        <v>265</v>
      </c>
      <c r="C32" s="6" t="s">
        <v>62</v>
      </c>
      <c r="D32" s="6" t="s">
        <v>58</v>
      </c>
    </row>
    <row r="33" customFormat="false" ht="15" hidden="false" customHeight="false" outlineLevel="0" collapsed="false">
      <c r="A33" s="6" t="s">
        <v>266</v>
      </c>
      <c r="B33" s="32" t="n">
        <f aca="false">ROUNDUP(B8*(1+B12),0)</f>
        <v>35</v>
      </c>
      <c r="C33" s="6" t="s">
        <v>29</v>
      </c>
      <c r="D33" s="6" t="s">
        <v>267</v>
      </c>
    </row>
    <row r="34" customFormat="false" ht="15" hidden="false" customHeight="false" outlineLevel="0" collapsed="false">
      <c r="A34" s="6" t="s">
        <v>268</v>
      </c>
      <c r="B34" s="32" t="n">
        <f aca="false">ROUNDUP(B6,0)</f>
        <v>34</v>
      </c>
      <c r="C34" s="6" t="s">
        <v>8</v>
      </c>
      <c r="D34" s="6"/>
    </row>
    <row r="35" customFormat="false" ht="35.05" hidden="false" customHeight="false" outlineLevel="0" collapsed="false">
      <c r="A35" s="6" t="s">
        <v>269</v>
      </c>
      <c r="B35" s="9" t="str">
        <f aca="false">IF(B33&lt;=100,"LV Commercial / Industrial (below 100 kVA class)","LV supply above 100 kVA - TNB may require CT metering")</f>
        <v>LV Commercial / Industrial (below 100 kVA class)</v>
      </c>
      <c r="C35" s="6" t="s">
        <v>62</v>
      </c>
      <c r="D35" s="6" t="s">
        <v>270</v>
      </c>
    </row>
    <row r="36" customFormat="false" ht="23.85" hidden="false" customHeight="false" outlineLevel="0" collapsed="false">
      <c r="A36" s="6" t="s">
        <v>271</v>
      </c>
      <c r="B36" s="32" t="n">
        <f aca="false">B7*Inputs!$B$29*Inputs!$B$30</f>
        <v>4302.48214285714</v>
      </c>
      <c r="C36" s="6" t="s">
        <v>41</v>
      </c>
      <c r="D36" s="6" t="s">
        <v>272</v>
      </c>
    </row>
    <row r="37" customFormat="false" ht="15" hidden="false" customHeight="false" outlineLevel="0" collapsed="false">
      <c r="A37" s="6" t="s">
        <v>273</v>
      </c>
      <c r="B37" s="32" t="n">
        <f aca="false">B36*Inputs!$B$31</f>
        <v>2189.96341071429</v>
      </c>
      <c r="C37" s="6" t="s">
        <v>274</v>
      </c>
      <c r="D37" s="6" t="s">
        <v>275</v>
      </c>
    </row>
    <row r="38" customFormat="false" ht="15" hidden="false" customHeight="false" outlineLevel="0" collapsed="false">
      <c r="A38" s="4" t="s">
        <v>276</v>
      </c>
      <c r="B38" s="5"/>
      <c r="C38" s="5"/>
      <c r="D38" s="5"/>
    </row>
    <row r="39" customFormat="false" ht="15" hidden="false" customHeight="false" outlineLevel="0" collapsed="false">
      <c r="A39" s="6" t="s">
        <v>277</v>
      </c>
      <c r="B39" s="32" t="n">
        <f aca="false">B8</f>
        <v>27.9051120448179</v>
      </c>
      <c r="C39" s="6" t="s">
        <v>29</v>
      </c>
      <c r="D39" s="6" t="s">
        <v>278</v>
      </c>
    </row>
    <row r="40" customFormat="false" ht="15" hidden="false" customHeight="false" outlineLevel="0" collapsed="false">
      <c r="A40" s="6" t="s">
        <v>279</v>
      </c>
      <c r="B40" s="32" t="n">
        <f aca="false">SQRT(3)*Inputs!$B$6*B15/1000</f>
        <v>14.4432773109244</v>
      </c>
      <c r="C40" s="6" t="s">
        <v>29</v>
      </c>
      <c r="D40" s="6" t="s">
        <v>280</v>
      </c>
    </row>
    <row r="41" customFormat="false" ht="23.85" hidden="false" customHeight="false" outlineLevel="0" collapsed="false">
      <c r="A41" s="6" t="s">
        <v>281</v>
      </c>
      <c r="B41" s="32" t="n">
        <f aca="false">B39-SQRT(3)*415*B14/1000+B40</f>
        <v>35.1267507002801</v>
      </c>
      <c r="C41" s="6" t="s">
        <v>29</v>
      </c>
      <c r="D41" s="6" t="s">
        <v>282</v>
      </c>
    </row>
    <row r="42" customFormat="false" ht="15" hidden="false" customHeight="false" outlineLevel="0" collapsed="false">
      <c r="A42" s="6" t="s">
        <v>283</v>
      </c>
      <c r="B42" s="32" t="n">
        <f aca="false">MAX(B39*1.25,B41)</f>
        <v>35.1267507002801</v>
      </c>
      <c r="C42" s="6" t="s">
        <v>29</v>
      </c>
      <c r="D42" s="6" t="s">
        <v>284</v>
      </c>
    </row>
    <row r="43" customFormat="false" ht="15" hidden="false" customHeight="false" outlineLevel="0" collapsed="false">
      <c r="A43" s="6" t="s">
        <v>285</v>
      </c>
      <c r="B43" s="32" t="n">
        <f aca="false">INDEX({10;20;30;40;50;60;80;100;125;150;200},COUNTIF({10;20;30;40;50;60;80;100;125;150;200},"&lt;"&amp;B42)+1)</f>
        <v>40</v>
      </c>
      <c r="C43" s="6" t="s">
        <v>29</v>
      </c>
      <c r="D43" s="6" t="s">
        <v>286</v>
      </c>
    </row>
    <row r="45" customFormat="false" ht="15" hidden="false" customHeight="true" outlineLevel="0" collapsed="false">
      <c r="A45" s="36" t="s">
        <v>153</v>
      </c>
      <c r="B45" s="36"/>
      <c r="C45" s="36"/>
      <c r="D45" s="36"/>
    </row>
    <row r="46" customFormat="false" ht="30" hidden="false" customHeight="true" outlineLevel="0" collapsed="false">
      <c r="A46" s="37" t="s">
        <v>287</v>
      </c>
      <c r="B46" s="37"/>
      <c r="C46" s="37"/>
      <c r="D46" s="37"/>
    </row>
    <row r="47" customFormat="false" ht="30" hidden="false" customHeight="true" outlineLevel="0" collapsed="false">
      <c r="A47" s="37" t="s">
        <v>288</v>
      </c>
      <c r="B47" s="37"/>
      <c r="C47" s="37"/>
      <c r="D47" s="37"/>
    </row>
    <row r="48" customFormat="false" ht="30" hidden="false" customHeight="true" outlineLevel="0" collapsed="false">
      <c r="A48" s="37" t="s">
        <v>289</v>
      </c>
      <c r="B48" s="37"/>
      <c r="C48" s="37"/>
      <c r="D48" s="37"/>
    </row>
    <row r="49" customFormat="false" ht="30" hidden="false" customHeight="true" outlineLevel="0" collapsed="false">
      <c r="A49" s="37" t="s">
        <v>290</v>
      </c>
      <c r="B49" s="37"/>
      <c r="C49" s="37"/>
      <c r="D49" s="37"/>
    </row>
    <row r="50" customFormat="false" ht="30" hidden="false" customHeight="true" outlineLevel="0" collapsed="false">
      <c r="A50" s="37" t="s">
        <v>291</v>
      </c>
      <c r="B50" s="37"/>
      <c r="C50" s="37"/>
      <c r="D50" s="37"/>
    </row>
  </sheetData>
  <mergeCells count="6">
    <mergeCell ref="A45:D45"/>
    <mergeCell ref="A46:D46"/>
    <mergeCell ref="A47:D47"/>
    <mergeCell ref="A48:D48"/>
    <mergeCell ref="A49:D49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2026-10-14T12:28:59Z</dcterms:created>
  <dc:creator>openpyxl</dc:creator>
  <dc:description/>
  <dc:language>en-US</dc:language>
  <cp:lastModifiedBy/>
  <dcterms:modified xsi:type="dcterms:W3CDTF">2026-10-14T12:28:59Z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