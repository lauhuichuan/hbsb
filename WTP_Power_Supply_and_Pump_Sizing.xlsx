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6.xml" ContentType="application/vnd.openxmlformats-officedocument.spreadsheetml.comments+xml"/>
  <Override PartName="/xl/charts/chart1.xml" ContentType="application/vnd.openxmlformats-officedocument.drawingml.chart+xml"/>
  <Override PartName="/xl/drawings/_rels/drawing1.xml.rels" ContentType="application/vnd.openxmlformats-package.relationship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Pump Purchase Summary" sheetId="2" state="visible" r:id="rId4"/>
    <sheet name="Inputs" sheetId="3" state="visible" r:id="rId5"/>
    <sheet name="Pump Hydraulics" sheetId="4" state="visible" r:id="rId6"/>
    <sheet name="Pump Sizing" sheetId="5" state="visible" r:id="rId7"/>
    <sheet name="Load Schedule" sheetId="6" state="visible" r:id="rId8"/>
    <sheet name="Energy Consumption" sheetId="7" state="visible" r:id="rId9"/>
    <sheet name="Incoming Supply" sheetId="8" state="visible" r:id="rId10"/>
  </sheet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J16" authorId="0">
      <text>
        <r>
          <rPr>
            <sz val="10"/>
            <rFont val="Arial"/>
            <family val="2"/>
          </rPr>
          <t xml:space="preserve">Maximum demand current, 3-phase equivalent, assuming single-phase loads are balanced across phases.</t>
        </r>
      </text>
    </comment>
  </commentList>
</comments>
</file>

<file path=xl/sharedStrings.xml><?xml version="1.0" encoding="utf-8"?>
<sst xmlns="http://schemas.openxmlformats.org/spreadsheetml/2006/main" count="864" uniqueCount="601">
  <si>
    <t xml:space="preserve">WTP 20 m3/h x 6 h/day - Power Supply and Pump Sizing Summary</t>
  </si>
  <si>
    <t xml:space="preserve">Shelter 18.3 m x 7.2 m x 3.6 m. 415 V 3-phase 50 Hz. All figures link to the calculation sheets.</t>
  </si>
  <si>
    <t xml:space="preserve">Item</t>
  </si>
  <si>
    <t xml:space="preserve">Value</t>
  </si>
  <si>
    <t xml:space="preserve">Unit</t>
  </si>
  <si>
    <t xml:space="preserve">Note</t>
  </si>
  <si>
    <t xml:space="preserve">PUMP MOTORS</t>
  </si>
  <si>
    <t xml:space="preserve">Raw Water Pump (duty + standby) - calculated motor</t>
  </si>
  <si>
    <t xml:space="preserve">kW</t>
  </si>
  <si>
    <t xml:space="preserve">10 m3/h at 30 m</t>
  </si>
  <si>
    <t xml:space="preserve">Raw Water Pump - drawing motor</t>
  </si>
  <si>
    <t xml:space="preserve">Backwash Pump (duty + standby) - calculated motor</t>
  </si>
  <si>
    <t xml:space="preserve">30 m3/h at 30 m</t>
  </si>
  <si>
    <t xml:space="preserve">Backwash Pump - drawing motor</t>
  </si>
  <si>
    <t xml:space="preserve">Treated Water Pump - calculated motor</t>
  </si>
  <si>
    <t xml:space="preserve">12 m3/h at 30 m</t>
  </si>
  <si>
    <t xml:space="preserve">Treated Water Pump - drawing motor</t>
  </si>
  <si>
    <t xml:space="preserve">Total installed pump motor kW (design basis)</t>
  </si>
  <si>
    <t xml:space="preserve">5 motors</t>
  </si>
  <si>
    <t xml:space="preserve">Motor FLC each (design basis, 415 V)</t>
  </si>
  <si>
    <t xml:space="preserve">A</t>
  </si>
  <si>
    <t xml:space="preserve">Motor feeder MCCB (each)</t>
  </si>
  <si>
    <t xml:space="preserve">3P, with Star-Delta starter</t>
  </si>
  <si>
    <t xml:space="preserve">Motor feeder cable (each)</t>
  </si>
  <si>
    <t xml:space="preserve">mm2</t>
  </si>
  <si>
    <t xml:space="preserve">Cu XLPE/SWA/PVC 4-core</t>
  </si>
  <si>
    <t xml:space="preserve">INCOMING SUPPLY</t>
  </si>
  <si>
    <t xml:space="preserve">Total connected load</t>
  </si>
  <si>
    <t xml:space="preserve">Maximum demand</t>
  </si>
  <si>
    <t xml:space="preserve">kVA</t>
  </si>
  <si>
    <t xml:space="preserve">Standby pumps excluded</t>
  </si>
  <si>
    <t xml:space="preserve">Maximum demand current</t>
  </si>
  <si>
    <t xml:space="preserve">Design current incl. spare</t>
  </si>
  <si>
    <t xml:space="preserve">Recommended main MCCB</t>
  </si>
  <si>
    <t xml:space="preserve">4-pole</t>
  </si>
  <si>
    <t xml:space="preserve">Main MCCB on drawing</t>
  </si>
  <si>
    <t xml:space="preserve">4P 225 A</t>
  </si>
  <si>
    <t xml:space="preserve">Incoming cable</t>
  </si>
  <si>
    <t xml:space="preserve">Declared maximum demand for TNB</t>
  </si>
  <si>
    <t xml:space="preserve">Standby generator (if required)</t>
  </si>
  <si>
    <t xml:space="preserve">Estimated energy</t>
  </si>
  <si>
    <t xml:space="preserve">kWh/month</t>
  </si>
  <si>
    <t xml:space="preserve">Upper bound</t>
  </si>
  <si>
    <t xml:space="preserve">WATER PUMP REQUIREMENT AND ENERGY</t>
  </si>
  <si>
    <t xml:space="preserve">Raw water pump - design flow / calculated TDH</t>
  </si>
  <si>
    <t xml:space="preserve">-</t>
  </si>
  <si>
    <t xml:space="preserve">Drawing: 10 m3/h at 25-30 m - see flow balance note</t>
  </si>
  <si>
    <t xml:space="preserve">Backwash pump - design flow / calculated TDH</t>
  </si>
  <si>
    <t xml:space="preserve">Drawing: 25-30 m3/h at 25-30 m</t>
  </si>
  <si>
    <t xml:space="preserve">Treated water pump - design flow / calculated TDH</t>
  </si>
  <si>
    <t xml:space="preserve">Drawing: 10-12 m3/h at 25-30 m - see flow balance note</t>
  </si>
  <si>
    <t xml:space="preserve">Daily energy consumption</t>
  </si>
  <si>
    <t xml:space="preserve">kWh/day</t>
  </si>
  <si>
    <t xml:space="preserve">Monthly energy consumption</t>
  </si>
  <si>
    <t xml:space="preserve">Annual energy consumption</t>
  </si>
  <si>
    <t xml:space="preserve">kWh/year</t>
  </si>
  <si>
    <t xml:space="preserve">Specific energy</t>
  </si>
  <si>
    <t xml:space="preserve">kWh/m3</t>
  </si>
  <si>
    <t xml:space="preserve">Peak demand (load profile)</t>
  </si>
  <si>
    <t xml:space="preserve">Total electricity cost</t>
  </si>
  <si>
    <t xml:space="preserve">RM/month</t>
  </si>
  <si>
    <t xml:space="preserve">Energy + MD charge, assumed tariff</t>
  </si>
  <si>
    <t xml:space="preserve">Pump Purchase Summary - Number of Pumps to Procure</t>
  </si>
  <si>
    <t xml:space="preserve">Quantities per drawing pump schedule (duty + standby). Motor kW and electrical data link to the Pump Sizing sheet.</t>
  </si>
  <si>
    <t xml:space="preserve">No.</t>
  </si>
  <si>
    <t xml:space="preserve">Pump type / service</t>
  </si>
  <si>
    <t xml:space="preserve">Tags</t>
  </si>
  <si>
    <t xml:space="preserve">Duty (nos)</t>
  </si>
  <si>
    <t xml:space="preserve">Standby (nos)</t>
  </si>
  <si>
    <t xml:space="preserve">Total to purchase (nos)</t>
  </si>
  <si>
    <t xml:space="preserve">Flow each (m3/h)</t>
  </si>
  <si>
    <t xml:space="preserve">Head (m)</t>
  </si>
  <si>
    <t xml:space="preserve">Motor kW (drawing)</t>
  </si>
  <si>
    <t xml:space="preserve">Motor kW (calculated)</t>
  </si>
  <si>
    <t xml:space="preserve">Motor kW (design)</t>
  </si>
  <si>
    <t xml:space="preserve">Supply</t>
  </si>
  <si>
    <t xml:space="preserve">Starter</t>
  </si>
  <si>
    <t xml:space="preserve">Specification / remarks</t>
  </si>
  <si>
    <t xml:space="preserve">A. PROCESS PUMPS (centrifugal, 415 V 3-phase, per drawing pump schedule)</t>
  </si>
  <si>
    <t xml:space="preserve">Raw Water Pump</t>
  </si>
  <si>
    <t xml:space="preserve">P-01 (duty), P-02 (standby)</t>
  </si>
  <si>
    <t xml:space="preserve">415 V 3PH 50 Hz</t>
  </si>
  <si>
    <t xml:space="preserve">End-suction centrifugal, SS304 impeller, cast iron casing, IP55 IE3 motor. Raw water duty - abrasion/solids tolerant. Suction from raw water tanks.</t>
  </si>
  <si>
    <t xml:space="preserve">Backwash Pump (clean water)</t>
  </si>
  <si>
    <t xml:space="preserve">P-08 (duty), P-11 (standby)</t>
  </si>
  <si>
    <t xml:space="preserve">End-suction centrifugal, SS304 wetted parts, IP55 IE3 motor. Draws from clarified water tank. Backwash tanks deleted - direct DN100 drain.</t>
  </si>
  <si>
    <t xml:space="preserve">Treated Water Pump</t>
  </si>
  <si>
    <t xml:space="preserve">P-09</t>
  </si>
  <si>
    <t xml:space="preserve">End-suction centrifugal, SS304/SS316 wetted parts (potable water, chlorinated), IP55 IE3 motor. Lifts to 3 x 45 m3 elevated tanks at 7.0 m. NOTE: no standby shown on drawing - recommend adding 1 standby (see row 4).</t>
  </si>
  <si>
    <t xml:space="preserve">Treated Water Pump - recommended standby (OPTIONAL, not on drawing)</t>
  </si>
  <si>
    <t xml:space="preserve">P-09S (proposed)</t>
  </si>
  <si>
    <t xml:space="preserve">Treated water pump is the only single point of failure feeding the elevated tanks. Set standby qty to 0 to exclude. If purchased, add one MCC feeder (25 A MCCB, Star-Delta) and recheck incoming supply.</t>
  </si>
  <si>
    <t xml:space="preserve">Subtotal - process pumps (per drawing, rows 1-3)</t>
  </si>
  <si>
    <t xml:space="preserve">Installed motor kW = sum of (qty x design kW)</t>
  </si>
  <si>
    <t xml:space="preserve">Subtotal - process pumps incl. optional standby (rows 1-4)</t>
  </si>
  <si>
    <t xml:space="preserve">B. CHEMICAL DOSING PUMPS (diaphragm metering, from Chemical Dosing Area)</t>
  </si>
  <si>
    <t xml:space="preserve">PAC dosing pump</t>
  </si>
  <si>
    <t xml:space="preserve">CP-02</t>
  </si>
  <si>
    <t xml:space="preserve">240 V 1PH 50 Hz</t>
  </si>
  <si>
    <t xml:space="preserve">PAC (poly aluminium chloride) coagulant, dosed after soda ash before static mixer / rapid mix. Solenoid or motor-driven diaphragm, PVDF/PTFE head, approx. 0-10 L/h at 7 bar (confirm from jar test dose rate).</t>
  </si>
  <si>
    <t xml:space="preserve">Soda Ash dosing pump</t>
  </si>
  <si>
    <t xml:space="preserve">CP-01</t>
  </si>
  <si>
    <t xml:space="preserve">Soda ash (Na2CO3) for pH/alkalinity, first dosing point on DN90 raw water line. Diaphragm, PP/PVDF head, approx. 0-10 L/h at 7 bar.</t>
  </si>
  <si>
    <t xml:space="preserve">TCCA (chlorine) dosing pump</t>
  </si>
  <si>
    <t xml:space="preserve">CP-04</t>
  </si>
  <si>
    <t xml:space="preserve">TCCA solution, dosed downstream of CP-03 on DN90 rising main before elevated tanks. Diaphragm, PVDF/PTFE/Viton wetted parts, approx. 0-5 L/h at 7 bar. Residual chlorine sample tap required.</t>
  </si>
  <si>
    <t xml:space="preserve">C833 / HEDP dosing pump</t>
  </si>
  <si>
    <t xml:space="preserve">CP-03</t>
  </si>
  <si>
    <t xml:space="preserve">Antiscalant/HEDP after sand filter and treated water pump. Separate quill. ONLY if SDS/COA approved - hold purchase until approval. Diaphragm, PVDF head, approx. 0-5 L/h at 7 bar.</t>
  </si>
  <si>
    <t xml:space="preserve">Spare dosing pump (common spare, OPTIONAL)</t>
  </si>
  <si>
    <t xml:space="preserve">One shelf spare covering all four chemicals (same frame size, swap head/diaphragm per chemical). Set to 0 to exclude.</t>
  </si>
  <si>
    <t xml:space="preserve">Subtotal - dosing pumps</t>
  </si>
  <si>
    <t xml:space="preserve">C. GRAND TOTAL</t>
  </si>
  <si>
    <t xml:space="preserve">Total pumps to purchase - as per drawing (no optional items)</t>
  </si>
  <si>
    <t xml:space="preserve">5 process pumps + 4 dosing pumps</t>
  </si>
  <si>
    <t xml:space="preserve">Total pumps to purchase - including optional standby and spare</t>
  </si>
  <si>
    <t xml:space="preserve">Adjust the yellow quantity cells to include or exclude optional items</t>
  </si>
  <si>
    <t xml:space="preserve">Total installed process-pump motor kW (as per drawing)</t>
  </si>
  <si>
    <t xml:space="preserve">NOTES</t>
  </si>
  <si>
    <t xml:space="preserve">1. Quantities for process pumps follow the drawing pump schedule: 2 raw water (1 duty + 1 standby), 2 backwash (1 duty + 1 standby), 1 treated water. Backwash tanks 10A/10B are deleted; the backwash pump draws from the clarified water tank.</t>
  </si>
  <si>
    <t xml:space="preserve">2. The drawing specifies 5.5 kW motors for all five process pumps. Hydraulic calculation gives 2.2 kW for raw and treated water pumps and 5.5 kW for backwash pumps. Purchase to the drawing unless the vendor confirms a smaller motor on the selected pump curve.</t>
  </si>
  <si>
    <t xml:space="preserve">3. Specify duty point (flow and head), NPSH available, liquid (raw water with solids vs treated chlorinated water), and material of wetted parts in the purchase order. Request pump curves and motor nameplate data to update the Inputs sheet.</t>
  </si>
  <si>
    <t xml:space="preserve">4. Dosing pump capacities are indicative. Final L/h rating comes from dose rate (mg/L) x 20 m3/h x stock solution concentration. Order with pulsation dampener, back-pressure valve, injection quill and calibration column for each.</t>
  </si>
  <si>
    <t xml:space="preserve">5. Agitators (4 nos, chemical tanks) are not pumps and are excluded from this list; see Load Schedule DB-4.</t>
  </si>
  <si>
    <t xml:space="preserve">Water Treatment Plant 20 m3/h - Electrical Design Inputs</t>
  </si>
  <si>
    <t xml:space="preserve">Blue text = input (edit here). Black = formula. Yellow fill = assumption to be confirmed by the user/vendor.</t>
  </si>
  <si>
    <t xml:space="preserve">Parameter</t>
  </si>
  <si>
    <t xml:space="preserve">Basis / Source</t>
  </si>
  <si>
    <t xml:space="preserve">Std IEC motor kW</t>
  </si>
  <si>
    <t xml:space="preserve">Std MCCB/MCB (A)</t>
  </si>
  <si>
    <t xml:space="preserve">Cable size (mm2)</t>
  </si>
  <si>
    <t xml:space="preserve">Ampacity (A) Cu XLPE/SWA/PVC 4-core, on tray, 30 C</t>
  </si>
  <si>
    <t xml:space="preserve">Volt drop (mV/A/m)</t>
  </si>
  <si>
    <t xml:space="preserve">SYSTEM PARAMETERS</t>
  </si>
  <si>
    <t xml:space="preserve">Supply voltage, line-to-line</t>
  </si>
  <si>
    <t xml:space="preserve">V</t>
  </si>
  <si>
    <t xml:space="preserve">TNB LV 3-phase 4-wire supply, per drawing 'Main Incoming 415V, 3PH, 50Hz'</t>
  </si>
  <si>
    <t xml:space="preserve">Frequency</t>
  </si>
  <si>
    <t xml:space="preserve">Hz</t>
  </si>
  <si>
    <t xml:space="preserve">Per drawing</t>
  </si>
  <si>
    <t xml:space="preserve">Single-phase voltage, line-to-neutral</t>
  </si>
  <si>
    <t xml:space="preserve">Derived from line voltage</t>
  </si>
  <si>
    <t xml:space="preserve">Motor power factor at full load</t>
  </si>
  <si>
    <t xml:space="preserve">Typical IE3 4-pole 5.5 kW motor at full load. Confirm from motor nameplate.</t>
  </si>
  <si>
    <t xml:space="preserve">Lighting / small-power power factor</t>
  </si>
  <si>
    <t xml:space="preserve">Assumed. LED lighting and general sockets.</t>
  </si>
  <si>
    <t xml:space="preserve">Motor efficiency (IE3, 4-pole, 5.5 kW class)</t>
  </si>
  <si>
    <t xml:space="preserve">IEC 60034-30-1 IE3 minimum, 4-pole, 5.5 kW = 89.6%</t>
  </si>
  <si>
    <t xml:space="preserve">Pump hydraulic efficiency at duty point</t>
  </si>
  <si>
    <t xml:space="preserve">Assumed for end-suction centrifugal pumps of this size. Replace with value from vendor pump curve.</t>
  </si>
  <si>
    <t xml:space="preserve">Motor sizing margin on shaft power</t>
  </si>
  <si>
    <t xml:space="preserve">Shaft power x 1.20 before selecting next standard IEC motor (common practice for pumps &lt; 7.5 kW)</t>
  </si>
  <si>
    <t xml:space="preserve">Water density</t>
  </si>
  <si>
    <t xml:space="preserve">kg/m3</t>
  </si>
  <si>
    <t xml:space="preserve">Fresh water at 25 C</t>
  </si>
  <si>
    <t xml:space="preserve">Gravitational acceleration</t>
  </si>
  <si>
    <t xml:space="preserve">m/s2</t>
  </si>
  <si>
    <t xml:space="preserve">PROTECTION AND CABLE SIZING</t>
  </si>
  <si>
    <t xml:space="preserve">Breaker sizing factor - motor feeders (x FLC)</t>
  </si>
  <si>
    <t xml:space="preserve">MCCB magnetic/thermal rating for motor circuits; overload protection is by the starter overload relay. Gives 25 A for a 5.5 kW motor, matching drawing.</t>
  </si>
  <si>
    <t xml:space="preserve">Breaker sizing factor - non-motor feeders (x FLC)</t>
  </si>
  <si>
    <t xml:space="preserve">Standard 125% of design current</t>
  </si>
  <si>
    <t xml:space="preserve">Cable derating factor (grouping x ambient)</t>
  </si>
  <si>
    <t xml:space="preserve">Assumed 35 C ambient, up to 3 circuits grouped on tray. Confirm against installation method.</t>
  </si>
  <si>
    <t xml:space="preserve">Max voltage drop - motor and sub-main feeders</t>
  </si>
  <si>
    <t xml:space="preserve">%</t>
  </si>
  <si>
    <t xml:space="preserve">4% of nominal (MS IEC 60364 / BS 7671 guidance for power)</t>
  </si>
  <si>
    <t xml:space="preserve">Max voltage drop - lighting / small power</t>
  </si>
  <si>
    <t xml:space="preserve">3% of nominal</t>
  </si>
  <si>
    <t xml:space="preserve">Cable ratings are indicative values for copper XLPE-insulated SWA/PVC 4-core cables on perforated tray (BS 7671 Table 4E4A order of magnitude). Verify against the cable manufacturer's catalogue before purchase.</t>
  </si>
  <si>
    <t xml:space="preserve">Diversity factor - lighting and small power</t>
  </si>
  <si>
    <t xml:space="preserve">Assumed</t>
  </si>
  <si>
    <t xml:space="preserve">Spare capacity on incoming supply</t>
  </si>
  <si>
    <t xml:space="preserve">25% allowance for future loads when selecting main MCCB and incoming cable</t>
  </si>
  <si>
    <t xml:space="preserve">DOL starting current multiple (x FLC)</t>
  </si>
  <si>
    <t xml:space="preserve">Typical squirrel-cage motor</t>
  </si>
  <si>
    <t xml:space="preserve">Star-Delta starting current multiple (x FLC)</t>
  </si>
  <si>
    <t xml:space="preserve">Approx. one-third of DOL starting current</t>
  </si>
  <si>
    <t xml:space="preserve">Star-Delta threshold (motors at or above this use Star-Delta)</t>
  </si>
  <si>
    <t xml:space="preserve">Per drawing: Star-Delta recommended for 5.5 kW pumps</t>
  </si>
  <si>
    <t xml:space="preserve">Electrical design basis for motor kW (Drawing / Calculated)</t>
  </si>
  <si>
    <t xml:space="preserve">Drawing</t>
  </si>
  <si>
    <t xml:space="preserve">'Drawing' sizes feeders on the 5.5 kW motors shown. 'Calculated' uses the hydraulic calculation result on the Pump Sizing sheet.</t>
  </si>
  <si>
    <t xml:space="preserve">OPERATING PROFILE</t>
  </si>
  <si>
    <t xml:space="preserve">Plant running hours per day</t>
  </si>
  <si>
    <t xml:space="preserve">h/day</t>
  </si>
  <si>
    <t xml:space="preserve">Per drawing: 20 m3/h x 6 h/day = 120 m3/day</t>
  </si>
  <si>
    <t xml:space="preserve">Operating days per month</t>
  </si>
  <si>
    <t xml:space="preserve">days</t>
  </si>
  <si>
    <t xml:space="preserve">Electricity tariff (for estimate only)</t>
  </si>
  <si>
    <t xml:space="preserve">RM/kWh</t>
  </si>
  <si>
    <t xml:space="preserve">Assumed TNB Tariff C1 energy charge; replace with actual tariff</t>
  </si>
  <si>
    <t xml:space="preserve">Water Pump Requirement - Hydraulic Calculation (Flow, Total Dynamic Head, NPSH, Motor kW)</t>
  </si>
  <si>
    <t xml:space="preserve">Friction loss by Hazen-Williams: hf = 10.67 x L x Q^1.852 / (C^1.852 x d^4.87), Q in m3/s, d in m. TDH = static head + friction (pipe + fittings) + terminal pressure, plus design margin.</t>
  </si>
  <si>
    <t xml:space="preserve">A. HYDRAULIC DESIGN ASSUMPTIONS (blue = edit, yellow = assumed, confirm on site)</t>
  </si>
  <si>
    <t xml:space="preserve">Basis</t>
  </si>
  <si>
    <t xml:space="preserve">Plant treatment capacity</t>
  </si>
  <si>
    <t xml:space="preserve">m3/h</t>
  </si>
  <si>
    <t xml:space="preserve">Hazen-Williams C - HDPE / uPVC pipe</t>
  </si>
  <si>
    <t xml:space="preserve">New plastic pipe, smooth bore</t>
  </si>
  <si>
    <t xml:space="preserve">Fittings and valves allowance (fraction of pipe friction)</t>
  </si>
  <si>
    <t xml:space="preserve">Equivalent-length method, 30% of straight-pipe loss for a typical pump line with bends, valves, NRV and strainer</t>
  </si>
  <si>
    <t xml:space="preserve">Design margin on TDH</t>
  </si>
  <si>
    <t xml:space="preserve">10% allowance for pipe ageing and uncertainty</t>
  </si>
  <si>
    <t xml:space="preserve">Atmospheric pressure head</t>
  </si>
  <si>
    <t xml:space="preserve">m</t>
  </si>
  <si>
    <t xml:space="preserve">Sea level, 101.3 kPa</t>
  </si>
  <si>
    <t xml:space="preserve">Water vapour pressure head at 30 C</t>
  </si>
  <si>
    <t xml:space="preserve">4.24 kPa at 30 C</t>
  </si>
  <si>
    <t xml:space="preserve">NPSH required by pump (typical, confirm from curve)</t>
  </si>
  <si>
    <t xml:space="preserve">Typical for small end-suction pumps at duty point</t>
  </si>
  <si>
    <t xml:space="preserve">Minimum NPSH margin (NPSHa - NPSHr)</t>
  </si>
  <si>
    <t xml:space="preserve">Good practice minimum 0.5-1.0 m</t>
  </si>
  <si>
    <t xml:space="preserve">Sand filter vessel diameter</t>
  </si>
  <si>
    <t xml:space="preserve">ASSUMED from drawing scale (multi-media filter item 7). Confirm from filter datasheet.</t>
  </si>
  <si>
    <t xml:space="preserve">Backwash duration per cycle</t>
  </si>
  <si>
    <t xml:space="preserve">min</t>
  </si>
  <si>
    <t xml:space="preserve">Typical 8-15 min for sand/multi-media filter</t>
  </si>
  <si>
    <t xml:space="preserve">Backwash cycles per day</t>
  </si>
  <si>
    <t xml:space="preserve">nos</t>
  </si>
  <si>
    <t xml:space="preserve">One backwash per 6 h run day; increase if raw water turbidity is high</t>
  </si>
  <si>
    <t xml:space="preserve">B. PIPE DATA</t>
  </si>
  <si>
    <t xml:space="preserve">Pipe</t>
  </si>
  <si>
    <t xml:space="preserve">Nominal DN (mm)</t>
  </si>
  <si>
    <t xml:space="preserve">Outside dia (mm)</t>
  </si>
  <si>
    <t xml:space="preserve">Internal dia (mm)</t>
  </si>
  <si>
    <t xml:space="preserve">DN90 HDPE PE100 PN16 SDR11 (raw water, rising main)</t>
  </si>
  <si>
    <t xml:space="preserve">Wall 8.2 mm per ISO 4427 SDR11. Drawing: 'all pipework HDPE / uPVC PN16'.</t>
  </si>
  <si>
    <t xml:space="preserve">DN100 uPVC PN16 (backwash supply and drain)</t>
  </si>
  <si>
    <t xml:space="preserve">uPVC Class E / PN16 wall 7.3 mm, OD 114 mm (MS 628 / BS 3505).</t>
  </si>
  <si>
    <t xml:space="preserve">C. PUMP HYDRAULIC CALCULATION (one column per pump)</t>
  </si>
  <si>
    <t xml:space="preserve">Raw Water Pump (P-01 / P-02)</t>
  </si>
  <si>
    <t xml:space="preserve">Backwash Pump (P-08 / P-11)</t>
  </si>
  <si>
    <t xml:space="preserve">Treated Water Pump (P-09)</t>
  </si>
  <si>
    <t xml:space="preserve">Formula / basis</t>
  </si>
  <si>
    <t xml:space="preserve">Drawing flow (m3/h)</t>
  </si>
  <si>
    <t xml:space="preserve">Pump schedule on drawing</t>
  </si>
  <si>
    <t xml:space="preserve">Flow required by process (m3/h)</t>
  </si>
  <si>
    <t xml:space="preserve">Raw and treated water pumps must pass the full 20 m3/h plant flow (no buffer tank between them and the process). Backwash: filter area x 25 m/h backwash rate.</t>
  </si>
  <si>
    <t xml:space="preserve">Design flow Q used for calculation (m3/h)</t>
  </si>
  <si>
    <t xml:space="preserve">Greater of drawing flow and process requirement. Overwrite with a value if a different duty is agreed.</t>
  </si>
  <si>
    <t xml:space="preserve">Design flow Q (L/s)</t>
  </si>
  <si>
    <t xml:space="preserve">L/s</t>
  </si>
  <si>
    <t xml:space="preserve">m3/h / 3.6</t>
  </si>
  <si>
    <t xml:space="preserve">Design flow Q (m3/s)</t>
  </si>
  <si>
    <t xml:space="preserve">m3/s</t>
  </si>
  <si>
    <t xml:space="preserve">m3/h / 3600</t>
  </si>
  <si>
    <t xml:space="preserve">Discharge pipe internal diameter (mm)</t>
  </si>
  <si>
    <t xml:space="preserve">mm</t>
  </si>
  <si>
    <t xml:space="preserve">Raw water on DN90 HDPE; backwash on DN100 uPVC; treated water on DN90 rising main (per drawing)</t>
  </si>
  <si>
    <t xml:space="preserve">Pipe cross-section area (m2)</t>
  </si>
  <si>
    <t xml:space="preserve">m2</t>
  </si>
  <si>
    <t xml:space="preserve">pi/4 x d^2</t>
  </si>
  <si>
    <t xml:space="preserve">Velocity in discharge pipe (m/s)</t>
  </si>
  <si>
    <t xml:space="preserve">m/s</t>
  </si>
  <si>
    <t xml:space="preserve">Q / A. Target 0.8-2.0 m/s for pump discharge (drawing notes backwash at 2.0 m/s)</t>
  </si>
  <si>
    <t xml:space="preserve">Velocity check</t>
  </si>
  <si>
    <t xml:space="preserve">Limit 2.5 m/s to control water hammer and erosion</t>
  </si>
  <si>
    <t xml:space="preserve">Straight pipe length, suction + discharge (m)</t>
  </si>
  <si>
    <t xml:space="preserve">ASSUMED route lengths inside 18.3 m shelter plus run to elevated tanks for the treated water pump. Edit to suit layout.</t>
  </si>
  <si>
    <t xml:space="preserve">Friction loss per 100 m (m/100 m)</t>
  </si>
  <si>
    <t xml:space="preserve">m/100 m</t>
  </si>
  <si>
    <t xml:space="preserve">Hazen-Williams</t>
  </si>
  <si>
    <t xml:space="preserve">Pipe friction loss (m)</t>
  </si>
  <si>
    <t xml:space="preserve">per 100 m x length / 100</t>
  </si>
  <si>
    <t xml:space="preserve">Fittings and valves loss (m)</t>
  </si>
  <si>
    <t xml:space="preserve">Pipe friction x fittings allowance</t>
  </si>
  <si>
    <t xml:space="preserve">Static lift - suction level to discharge point (m)</t>
  </si>
  <si>
    <t xml:space="preserve">ASSUMED. Raw: raw water tank low level (0.5 m above floor) to rapid mix inlet at 3.5 m. Backwash: clarified tank low level to filter top. Treated: floor to top water level of elevated tank = 7.0 m stand + 4.0 m tank height.</t>
  </si>
  <si>
    <t xml:space="preserve">Terminal / process pressure required at discharge (m)</t>
  </si>
  <si>
    <t xml:space="preserve">ASSUMED. Raw: static mixer + rapid mix inlet + dosing quills. Backwash: expanded media bed + underdrain + vessel losses (confirm from filter datasheet, typically 5-10 m). Treated: free discharge into tank, 2 m allowance.</t>
  </si>
  <si>
    <t xml:space="preserve">Total head before margin (m)</t>
  </si>
  <si>
    <t xml:space="preserve">Static + pipe friction + fittings + terminal pressure</t>
  </si>
  <si>
    <t xml:space="preserve">Total dynamic head TDH incl. margin (m)</t>
  </si>
  <si>
    <t xml:space="preserve">x (1 + design margin)</t>
  </si>
  <si>
    <t xml:space="preserve">Head on drawing (m)</t>
  </si>
  <si>
    <t xml:space="preserve">Upper value of 25-30 m range</t>
  </si>
  <si>
    <t xml:space="preserve">Head check vs drawing</t>
  </si>
  <si>
    <t xml:space="preserve">Hydraulic power at design Q and calculated TDH (kW)</t>
  </si>
  <si>
    <t xml:space="preserve">rho x g x Q(m3/s) x H / 1000</t>
  </si>
  <si>
    <t xml:space="preserve">Pump efficiency</t>
  </si>
  <si>
    <t xml:space="preserve">From Inputs</t>
  </si>
  <si>
    <t xml:space="preserve">Shaft power required (kW)</t>
  </si>
  <si>
    <t xml:space="preserve">Hydraulic / pump efficiency</t>
  </si>
  <si>
    <t xml:space="preserve">Motor required = next std IEC above shaft x margin (kW)</t>
  </si>
  <si>
    <t xml:space="preserve">At design flow and CALCULATED head</t>
  </si>
  <si>
    <t xml:space="preserve">Motor required at design flow and DRAWING head (kW)</t>
  </si>
  <si>
    <t xml:space="preserve">Conservative: if the pump is bought to the drawing head (30 m) at the design flow, this is the motor it will need</t>
  </si>
  <si>
    <t xml:space="preserve">Motor on drawing (kW)</t>
  </si>
  <si>
    <t xml:space="preserve">Motor check</t>
  </si>
  <si>
    <t xml:space="preserve">Suction static head, flooded suction (+) / lift (-) (m)</t>
  </si>
  <si>
    <t xml:space="preserve">ASSUMED: pumps at floor level with tank low water level 0.5 m above pump centreline (flooded). Treated water pump takes suction from sand filter outlet under pressure - 0.5 m is conservative.</t>
  </si>
  <si>
    <t xml:space="preserve">Suction pipe friction loss (m)</t>
  </si>
  <si>
    <t xml:space="preserve">ASSUMED 25% of total pipe friction occurs on the short suction side</t>
  </si>
  <si>
    <t xml:space="preserve">NPSH available (m)</t>
  </si>
  <si>
    <t xml:space="preserve">Patm + suction static - suction friction - Pvap</t>
  </si>
  <si>
    <t xml:space="preserve">NPSH check</t>
  </si>
  <si>
    <t xml:space="preserve">Required running hours/day to deliver 120 m3 at DRAWING flow (h)</t>
  </si>
  <si>
    <t xml:space="preserve">120 m3/day / drawing flow. Shows whether the drawing pump can keep up within the 6 h run day.</t>
  </si>
  <si>
    <t xml:space="preserve">Running hours/day at DESIGN flow (h)</t>
  </si>
  <si>
    <t xml:space="preserve">Raw/treated: 120 m3 / design flow. Backwash: minutes per cycle x cycles per day.</t>
  </si>
  <si>
    <t xml:space="preserve">Water pumped per day (m3/day)</t>
  </si>
  <si>
    <t xml:space="preserve">m3/day</t>
  </si>
  <si>
    <t xml:space="preserve">Design flow x running hours</t>
  </si>
  <si>
    <t xml:space="preserve">D. WATER BALANCE AND STORAGE CHECK</t>
  </si>
  <si>
    <t xml:space="preserve">Daily production</t>
  </si>
  <si>
    <t xml:space="preserve">Capacity x running hours</t>
  </si>
  <si>
    <t xml:space="preserve">Raw water storage (2 x 30 m3 tanks, mid of 25-35 range)</t>
  </si>
  <si>
    <t xml:space="preserve">m3</t>
  </si>
  <si>
    <t xml:space="preserve">ASSUMED 30 m3 each. Tank capacity summary gives 25-35 m3 each.</t>
  </si>
  <si>
    <t xml:space="preserve">Raw water storage as hours of plant flow</t>
  </si>
  <si>
    <t xml:space="preserve">h</t>
  </si>
  <si>
    <t xml:space="preserve">Storage / capacity. Raw water inlet must refill at or above plant flow during the run day or storage is exhausted after this many hours.</t>
  </si>
  <si>
    <t xml:space="preserve">Backwash water per cycle</t>
  </si>
  <si>
    <t xml:space="preserve">Backwash flow x duration</t>
  </si>
  <si>
    <t xml:space="preserve">Backwash water per day</t>
  </si>
  <si>
    <t xml:space="preserve">x cycles per day</t>
  </si>
  <si>
    <t xml:space="preserve">Backwash water as % of production</t>
  </si>
  <si>
    <t xml:space="preserve">Typical 2-5% for sand filters</t>
  </si>
  <si>
    <t xml:space="preserve">Clarified water tank (13-18 m3) vs one backwash</t>
  </si>
  <si>
    <t xml:space="preserve">Backwash tanks deleted; backwash draws from clarified water tank (13-18 m3)</t>
  </si>
  <si>
    <t xml:space="preserve">Net treated water to elevated tanks</t>
  </si>
  <si>
    <t xml:space="preserve">Production less backwash</t>
  </si>
  <si>
    <t xml:space="preserve">Elevated storage (3 x 45 m3)</t>
  </si>
  <si>
    <t xml:space="preserve">Elevated storage as days of supply</t>
  </si>
  <si>
    <t xml:space="preserve">At net daily production to the tanks</t>
  </si>
  <si>
    <t xml:space="preserve">Filter area</t>
  </si>
  <si>
    <t xml:space="preserve">From assumed vessel diameter</t>
  </si>
  <si>
    <t xml:space="preserve">Filtration rate at plant flow</t>
  </si>
  <si>
    <t xml:space="preserve">m/h</t>
  </si>
  <si>
    <t xml:space="preserve">Target 8-15 m/h for rapid sand / multimedia pressure filter. Above 15 m/h: consider a second filter or larger vessel.</t>
  </si>
  <si>
    <t xml:space="preserve">Backwash rate</t>
  </si>
  <si>
    <t xml:space="preserve">Target 25-40 m/h for sand (depends on media size and temperature)</t>
  </si>
  <si>
    <t xml:space="preserve">1. FLOW BALANCE FINDING: the drawing schedules the raw water pumps at 10 m3/h and the treated water pump at 10-12 m3/h, but the plant is rated 20 m3/h. There is no buffer tank between the raw water pumps and the process, nor between the sand filter and the treated water pump, so each must pass 20 m3/h. Either (a) re-rate P-01/P-02 and P-09 to 20 m3/h, or (b) run both raw water pumps in parallel as duty/assist (losing the standby) and accept a 10-12 h run day for the treated water pump. This sheet uses 20 m3/h as the design flow; row 'Required running hours at DRAWING flow' shows the shortfall.</t>
  </si>
  <si>
    <t xml:space="preserve">2. At 20 m3/h on the DN90 HDPE main the velocity is about 1.3 m/s, which is acceptable. Backwash at 25-30 m3/h on DN100 is about 1.0 m/s.</t>
  </si>
  <si>
    <t xml:space="preserve">3. Calculated TDH for the raw and treated water pumps is well below the 30 m on the drawing. A pump selected for 30 m will run far out on its curve at the real system head, drawing more flow and power than expected, unless throttled. Confirm the system head with the pump vendor and select the pump at the calculated duty point, or fit a discharge throttling valve / VFD.</t>
  </si>
  <si>
    <t xml:space="preserve">4. Static heads, pipe lengths and terminal pressures are yellow assumptions read from the drawing geometry; replace with surveyed values.</t>
  </si>
  <si>
    <t xml:space="preserve">5. Backwash flow required is derived from the filter area and a 25 m/h backwash rate; if the vendor filter is larger than 1.2 m diameter the backwash pump flow and the clarified water tank volume must be rechecked.</t>
  </si>
  <si>
    <t xml:space="preserve">Pump Hydraulic Power and Motor kW Required</t>
  </si>
  <si>
    <t xml:space="preserve">P_hyd (kW) = rho x g x Q x H / (3,600 x 1,000).  Shaft kW = P_hyd / pump eff.  Motor = next standard IEC rating above shaft kW x margin.</t>
  </si>
  <si>
    <t xml:space="preserve">Tag</t>
  </si>
  <si>
    <t xml:space="preserve">Service</t>
  </si>
  <si>
    <t xml:space="preserve">Duty / Standby</t>
  </si>
  <si>
    <t xml:space="preserve">Flow Q (m3/h)</t>
  </si>
  <si>
    <t xml:space="preserve">Head H (m)</t>
  </si>
  <si>
    <t xml:space="preserve">Hydraulic power (kW)</t>
  </si>
  <si>
    <t xml:space="preserve">Pump eff.</t>
  </si>
  <si>
    <t xml:space="preserve">Shaft power (kW)</t>
  </si>
  <si>
    <t xml:space="preserve">Shaft x margin (kW)</t>
  </si>
  <si>
    <t xml:space="preserve">Calculated motor (kW)</t>
  </si>
  <si>
    <t xml:space="preserve">Drawing motor (kW)</t>
  </si>
  <si>
    <t xml:space="preserve">Design motor (kW)</t>
  </si>
  <si>
    <t xml:space="preserve">Motor eff.</t>
  </si>
  <si>
    <t xml:space="preserve">PF</t>
  </si>
  <si>
    <t xml:space="preserve">FLC (A)</t>
  </si>
  <si>
    <t xml:space="preserve">Starting current (A)</t>
  </si>
  <si>
    <t xml:space="preserve">Remarks</t>
  </si>
  <si>
    <t xml:space="preserve">P-01</t>
  </si>
  <si>
    <t xml:space="preserve">Raw Water Pump-1 (Duty)</t>
  </si>
  <si>
    <t xml:space="preserve">Duty</t>
  </si>
  <si>
    <t xml:space="preserve">Drawing: 10 m3/h, 25-30 m. Upper head used.</t>
  </si>
  <si>
    <t xml:space="preserve">P-02</t>
  </si>
  <si>
    <t xml:space="preserve">Raw Water Pump-2 (Standby)</t>
  </si>
  <si>
    <t xml:space="preserve">Standby</t>
  </si>
  <si>
    <t xml:space="preserve">Identical to P-01, 100% standby.</t>
  </si>
  <si>
    <t xml:space="preserve">P-08</t>
  </si>
  <si>
    <t xml:space="preserve">Backwash Pump (Duty)</t>
  </si>
  <si>
    <t xml:space="preserve">Drawing: 25-30 m3/h, 25-30 m. Backwash flow 25-30 m3/h at 2.0 m/s.</t>
  </si>
  <si>
    <t xml:space="preserve">P-11</t>
  </si>
  <si>
    <t xml:space="preserve">Backwash Pump (Standby)</t>
  </si>
  <si>
    <t xml:space="preserve">Identical to P-08, 100% standby.</t>
  </si>
  <si>
    <t xml:space="preserve">Drawing: 10-12 m3/h, 25-30 m. Lifts to elevated tanks at 7.0 m plus DN90 rising main losses.</t>
  </si>
  <si>
    <t xml:space="preserve">Total installed motor kW (all pumps)</t>
  </si>
  <si>
    <t xml:space="preserve">Total duty motor kW (standby excluded)</t>
  </si>
  <si>
    <t xml:space="preserve">Largest single motor (kW)</t>
  </si>
  <si>
    <t xml:space="preserve">1. Hydraulic power uses the upper end of the flow and head ranges on the drawing, which is conservative.</t>
  </si>
  <si>
    <t xml:space="preserve">2. The calculated motor column shows the minimum standard IEC motor that satisfies shaft power x margin. The drawing specifies 5.5 kW for all five pumps.</t>
  </si>
  <si>
    <t xml:space="preserve">3. The raw water and treated water pumps calculate to 2.2 kW. 5.5 kW motors give about 2.5x margin; this is acceptable if the vendor pump curve runs out to higher flow, but a 3 kW or 4 kW motor would reduce starting current and cost.</t>
  </si>
  <si>
    <t xml:space="preserve">4. The backwash pumps calculate to 5.5 kW at 30 m3/h and 30 m, so the drawing rating is appropriate.</t>
  </si>
  <si>
    <t xml:space="preserve">5. Change the 'Electrical design basis' cell on the Inputs sheet to 'Calculated' to re-size all feeders and the incoming supply on the calculated motors.</t>
  </si>
  <si>
    <t xml:space="preserve">6. Standby pumps are excluded from maximum demand on the Incoming Supply sheet; they are electrically interlocked with their duty pump.</t>
  </si>
  <si>
    <t xml:space="preserve">Load Schedule - Motor Control Centre and WTP Control DB</t>
  </si>
  <si>
    <t xml:space="preserve">Feeder sizing: FLC -&gt; breaker (next standard size above FLC x factor) -&gt; cable (ampacity after derating &gt;= breaker) -&gt; voltage drop check.</t>
  </si>
  <si>
    <t xml:space="preserve">Ckt</t>
  </si>
  <si>
    <t xml:space="preserve">Feeder / Load</t>
  </si>
  <si>
    <t xml:space="preserve">Load type</t>
  </si>
  <si>
    <t xml:space="preserve">Ph</t>
  </si>
  <si>
    <t xml:space="preserve">Qty</t>
  </si>
  <si>
    <t xml:space="preserve">Unit kW</t>
  </si>
  <si>
    <t xml:space="preserve">Connected kW</t>
  </si>
  <si>
    <t xml:space="preserve">Eff.</t>
  </si>
  <si>
    <t xml:space="preserve">Running (Y/N)</t>
  </si>
  <si>
    <t xml:space="preserve">Diversity</t>
  </si>
  <si>
    <t xml:space="preserve">Running input kW</t>
  </si>
  <si>
    <t xml:space="preserve">Running kVA</t>
  </si>
  <si>
    <t xml:space="preserve">Breaker factor</t>
  </si>
  <si>
    <t xml:space="preserve">Breaker calc (A)</t>
  </si>
  <si>
    <t xml:space="preserve">Breaker selected (A)</t>
  </si>
  <si>
    <t xml:space="preserve">Breaker type</t>
  </si>
  <si>
    <t xml:space="preserve">Cable length (m)</t>
  </si>
  <si>
    <t xml:space="preserve">Cable req. (A)</t>
  </si>
  <si>
    <t xml:space="preserve">Cable rating (A)</t>
  </si>
  <si>
    <t xml:space="preserve">Volt drop (V)</t>
  </si>
  <si>
    <t xml:space="preserve">Volt drop (%)</t>
  </si>
  <si>
    <t xml:space="preserve">VD check / Remarks</t>
  </si>
  <si>
    <t xml:space="preserve">MCC-1</t>
  </si>
  <si>
    <t xml:space="preserve">Motor</t>
  </si>
  <si>
    <t xml:space="preserve">Y</t>
  </si>
  <si>
    <t xml:space="preserve">MCCB 3P</t>
  </si>
  <si>
    <t xml:space="preserve">MCC-2</t>
  </si>
  <si>
    <t xml:space="preserve">N</t>
  </si>
  <si>
    <t xml:space="preserve">MCC-3</t>
  </si>
  <si>
    <t xml:space="preserve">MCC-4</t>
  </si>
  <si>
    <t xml:space="preserve">MCC-5</t>
  </si>
  <si>
    <t xml:space="preserve">DB-1</t>
  </si>
  <si>
    <t xml:space="preserve">Lighting</t>
  </si>
  <si>
    <t xml:space="preserve">MCB 1P</t>
  </si>
  <si>
    <t xml:space="preserve">DB-2</t>
  </si>
  <si>
    <t xml:space="preserve">Socket outlets</t>
  </si>
  <si>
    <t xml:space="preserve">Small power</t>
  </si>
  <si>
    <t xml:space="preserve">DB-3</t>
  </si>
  <si>
    <t xml:space="preserve">Chemical dosing pumps (PAC, Soda Ash, TCCA, C833/HEDP)</t>
  </si>
  <si>
    <t xml:space="preserve">DB-4</t>
  </si>
  <si>
    <t xml:space="preserve">Agitators (chemical tanks)</t>
  </si>
  <si>
    <t xml:space="preserve">DB-5</t>
  </si>
  <si>
    <t xml:space="preserve">Control panel, PLC, level sensors, residual chlorine analyser</t>
  </si>
  <si>
    <t xml:space="preserve">DB-6</t>
  </si>
  <si>
    <t xml:space="preserve">Spare</t>
  </si>
  <si>
    <t xml:space="preserve">TOTAL</t>
  </si>
  <si>
    <t xml:space="preserve">LEGEND</t>
  </si>
  <si>
    <t xml:space="preserve">Blue = input. Green = linked from another sheet. Black = formula. Yellow fill = assumed load value not given on the drawing - confirm with vendor.</t>
  </si>
  <si>
    <t xml:space="preserve">FLC (A): 3-phase = kW x 1000 / (sqrt3 x V x PF x eff);  1-phase = kW x 1000 / (V_LN x PF x eff).</t>
  </si>
  <si>
    <t xml:space="preserve">Breaker: next standard rating above FLC x factor (2.0 for motors with starter overload relay, 1.25 otherwise).</t>
  </si>
  <si>
    <t xml:space="preserve">Cable: smallest size whose ampacity x derating factor is at least the breaker rating, so the breaker protects the cable.</t>
  </si>
  <si>
    <t xml:space="preserve">Voltage drop = mV/A/m x FLC x length / 1000, checked against the limit on the Inputs sheet. Single-phase circuits use the 4-core table values, which is conservative.</t>
  </si>
  <si>
    <t xml:space="preserve">Single-phase DB loads are to be distributed across R, Y, B phases as evenly as possible; the DB is a 3-phase board fed from the MCC.</t>
  </si>
  <si>
    <t xml:space="preserve">Electrical Energy Consumption - Daily, Monthly, Annual kWh and Cost</t>
  </si>
  <si>
    <t xml:space="preserve">Absorbed input kW for pumps = shaft power at design duty / motor efficiency (not the motor nameplate). kWh/day = absorbed kW x running hours/day. Monthly = x operating days; annual = x 12 months.</t>
  </si>
  <si>
    <t xml:space="preserve">A. TARIFF AND OPERATING ASSUMPTIONS</t>
  </si>
  <si>
    <t xml:space="preserve">Energy charge</t>
  </si>
  <si>
    <t xml:space="preserve">Linked from Inputs (assumed TNB tariff). Replace with actual tariff from TNB bill.</t>
  </si>
  <si>
    <t xml:space="preserve">Maximum demand charge</t>
  </si>
  <si>
    <t xml:space="preserve">RM/kW/month</t>
  </si>
  <si>
    <t xml:space="preserve">ASSUMED - TNB LV commercial/industrial tariff with MD charge (e.g. C1 / D). Set to 0 if on a tariff without MD charge (e.g. B).</t>
  </si>
  <si>
    <t xml:space="preserve">Linked from Inputs</t>
  </si>
  <si>
    <t xml:space="preserve">Months per year</t>
  </si>
  <si>
    <t xml:space="preserve">months</t>
  </si>
  <si>
    <t xml:space="preserve">Plant start time (hour of day, 0-23)</t>
  </si>
  <si>
    <t xml:space="preserve">ASSUMED 08:00 start for the 6 h run. Used only by the 24-h load profile.</t>
  </si>
  <si>
    <t xml:space="preserve">Lighting start time (hour of day)</t>
  </si>
  <si>
    <t xml:space="preserve">ASSUMED - shelter lighting on evening/night for security</t>
  </si>
  <si>
    <t xml:space="preserve">B. ENERGY CONSUMPTION BY EQUIPMENT</t>
  </si>
  <si>
    <t xml:space="preserve">Equipment</t>
  </si>
  <si>
    <t xml:space="preserve">Rated / connected kW</t>
  </si>
  <si>
    <t xml:space="preserve">Qty running</t>
  </si>
  <si>
    <t xml:space="preserve">Load factor</t>
  </si>
  <si>
    <t xml:space="preserve">Absorbed input kW</t>
  </si>
  <si>
    <t xml:space="preserve">Running h/day</t>
  </si>
  <si>
    <t xml:space="preserve">Energy cost RM/month</t>
  </si>
  <si>
    <t xml:space="preserve">Start hour</t>
  </si>
  <si>
    <t xml:space="preserve">Duration h</t>
  </si>
  <si>
    <t xml:space="preserve">Basis for absorbed power and running hours</t>
  </si>
  <si>
    <t xml:space="preserve">Raw Water Pump (duty)</t>
  </si>
  <si>
    <t xml:space="preserve">Absorbed = shaft kW at 20 m3/h and calculated TDH / motor eff (Pump Hydraulics). Runs for the full treatment day.</t>
  </si>
  <si>
    <t xml:space="preserve">Backwash Pump (duty)</t>
  </si>
  <si>
    <t xml:space="preserve">Absorbed from Pump Hydraulics. Runs 10 min per backwash, 1 cycle/day, after the run day.</t>
  </si>
  <si>
    <t xml:space="preserve">Absorbed from Pump Hydraulics. Runs with the plant.</t>
  </si>
  <si>
    <t xml:space="preserve">ASSUMED 80% of fittings on, 12 h/day (evening and night).</t>
  </si>
  <si>
    <t xml:space="preserve">ASSUMED 30% average loading for 4 h/day (maintenance tools, laboratory).</t>
  </si>
  <si>
    <t xml:space="preserve">Chemical dosing pumps (4 nos)</t>
  </si>
  <si>
    <t xml:space="preserve">ASSUMED 70% stroke loading; dosing runs whenever the plant runs.</t>
  </si>
  <si>
    <t xml:space="preserve">Agitators (4 nos)</t>
  </si>
  <si>
    <t xml:space="preserve">ASSUMED 80% loading; run 1 h before start for solution make-up and 1 h after.</t>
  </si>
  <si>
    <t xml:space="preserve">Control panel, PLC, instruments</t>
  </si>
  <si>
    <t xml:space="preserve">ASSUMED 60% loading, continuous 24 h (level control, chlorine analyser, telemetry).</t>
  </si>
  <si>
    <t xml:space="preserve">TOTAL ENERGY</t>
  </si>
  <si>
    <t xml:space="preserve">C. KEY FIGURES</t>
  </si>
  <si>
    <t xml:space="preserve">Daily production (m3/day)</t>
  </si>
  <si>
    <t xml:space="preserve">Specific energy consumption (kWh/m3 treated)</t>
  </si>
  <si>
    <t xml:space="preserve">kWh/m3 - benchmark 0.25-0.60 kWh/m3 for conventional clarification + filtration with low-lift pumping</t>
  </si>
  <si>
    <t xml:space="preserve">Peak demand from 24-h load profile (kW)</t>
  </si>
  <si>
    <t xml:space="preserve">Highest hourly average kW in Section D</t>
  </si>
  <si>
    <t xml:space="preserve">Maximum demand charge (RM/month)</t>
  </si>
  <si>
    <t xml:space="preserve">Peak kW x MD charge</t>
  </si>
  <si>
    <t xml:space="preserve">Energy charge (RM/month)</t>
  </si>
  <si>
    <t xml:space="preserve">From Section B</t>
  </si>
  <si>
    <t xml:space="preserve">Total electricity cost (RM/month)</t>
  </si>
  <si>
    <t xml:space="preserve">Energy + maximum demand (excl. ICPT, service charge, SST)</t>
  </si>
  <si>
    <t xml:space="preserve">Total electricity cost (RM/year)</t>
  </si>
  <si>
    <t xml:space="preserve">Electricity cost per m3 treated (RM/m3)</t>
  </si>
  <si>
    <t xml:space="preserve">Monthly cost / monthly production</t>
  </si>
  <si>
    <t xml:space="preserve">Annual energy (kWh/year)</t>
  </si>
  <si>
    <t xml:space="preserve">Equivalent CO2 (t/year)</t>
  </si>
  <si>
    <t xml:space="preserve">Peninsular Malaysia grid factor 0.774 kg CO2/kWh (Energy Commission, 2021 GEF)</t>
  </si>
  <si>
    <t xml:space="preserve">D. 24-HOUR LOAD PROFILE (average kW in each hour, from start hour and duration in Section B)</t>
  </si>
  <si>
    <t xml:space="preserve">Hour</t>
  </si>
  <si>
    <t xml:space="preserve">00:00</t>
  </si>
  <si>
    <t xml:space="preserve">01:00</t>
  </si>
  <si>
    <t xml:space="preserve">02:00</t>
  </si>
  <si>
    <t xml:space="preserve">03:00</t>
  </si>
  <si>
    <t xml:space="preserve">04:00</t>
  </si>
  <si>
    <t xml:space="preserve">05:00</t>
  </si>
  <si>
    <t xml:space="preserve">06:00</t>
  </si>
  <si>
    <t xml:space="preserve">07:00</t>
  </si>
  <si>
    <t xml:space="preserve">08:00</t>
  </si>
  <si>
    <t xml:space="preserve">09:00</t>
  </si>
  <si>
    <t xml:space="preserve">10:00</t>
  </si>
  <si>
    <t xml:space="preserve">11:00</t>
  </si>
  <si>
    <t xml:space="preserve">12:00</t>
  </si>
  <si>
    <t xml:space="preserve">13:00</t>
  </si>
  <si>
    <t xml:space="preserve">14:00</t>
  </si>
  <si>
    <t xml:space="preserve">15:00</t>
  </si>
  <si>
    <t xml:space="preserve">16:00</t>
  </si>
  <si>
    <t xml:space="preserve">17:00</t>
  </si>
  <si>
    <t xml:space="preserve">18:00</t>
  </si>
  <si>
    <t xml:space="preserve">19:00</t>
  </si>
  <si>
    <t xml:space="preserve">20:00</t>
  </si>
  <si>
    <t xml:space="preserve">21:00</t>
  </si>
  <si>
    <t xml:space="preserve">22:00</t>
  </si>
  <si>
    <t xml:space="preserve">23:00</t>
  </si>
  <si>
    <t xml:space="preserve">Total kW</t>
  </si>
  <si>
    <t xml:space="preserve">Check: profile kWh/day equals Section B total</t>
  </si>
  <si>
    <t xml:space="preserve">1. Pump absorbed power is taken at the calculated system head on the Pump Hydraulics sheet, not at the 5.5 kW nameplate. If pumps are bought for 30 m head and run unthrottled on the real (lower-head) system they will draw more power than shown; the Incoming Supply sheet already covers the nameplate case for breaker and cable sizing.</t>
  </si>
  <si>
    <t xml:space="preserve">2. Standby pumps consume no energy. Backwash pump energy is small because it runs about 10 minutes per day.</t>
  </si>
  <si>
    <t xml:space="preserve">3. Running hours, load factors and start times in yellow are assumptions. The 24-h profile wraps past midnight correctly for loads that start late in the day.</t>
  </si>
  <si>
    <t xml:space="preserve">4. Maximum demand for billing is normally measured over 30-minute intervals; the hourly profile here is a close approximation for this plant because loads switch on for whole hours.</t>
  </si>
  <si>
    <t xml:space="preserve">5. Tariff rates are placeholders. Insert the energy rate, MD rate and any ICPT / network charges from the actual TNB tariff applicable to the premises.</t>
  </si>
  <si>
    <t xml:space="preserve">Incoming Power Supply Sizing - Main MCCB, Incoming Cable, TNB Supply and Standby Generator</t>
  </si>
  <si>
    <t xml:space="preserve">All values derive from the Load Schedule and Inputs sheets.</t>
  </si>
  <si>
    <t xml:space="preserve">Formula / Basis</t>
  </si>
  <si>
    <t xml:space="preserve">A. CONNECTED AND RUNNING LOAD</t>
  </si>
  <si>
    <t xml:space="preserve">Total connected load (all feeders incl. standby)</t>
  </si>
  <si>
    <t xml:space="preserve">Sum of connected kW on Load Schedule</t>
  </si>
  <si>
    <t xml:space="preserve">Maximum demand - running input power</t>
  </si>
  <si>
    <t xml:space="preserve">Running loads only, standby pumps excluded, diversity applied to lighting and small power, motor efficiency included</t>
  </si>
  <si>
    <t xml:space="preserve">Maximum demand - apparent power</t>
  </si>
  <si>
    <t xml:space="preserve">Sum of running kVA</t>
  </si>
  <si>
    <t xml:space="preserve">Overall power factor at maximum demand</t>
  </si>
  <si>
    <t xml:space="preserve">kW / kVA</t>
  </si>
  <si>
    <t xml:space="preserve">kVA x 1000 / (sqrt3 x 415)</t>
  </si>
  <si>
    <t xml:space="preserve">B. INCOMING SUPPLY DESIGN CURRENT</t>
  </si>
  <si>
    <t xml:space="preserve">Spare capacity allowance</t>
  </si>
  <si>
    <t xml:space="preserve">Design current including spare capacity</t>
  </si>
  <si>
    <t xml:space="preserve">Max demand current x (1 + spare)</t>
  </si>
  <si>
    <t xml:space="preserve">Largest motor FLC</t>
  </si>
  <si>
    <t xml:space="preserve">Largest of the MCC motor feeders</t>
  </si>
  <si>
    <t xml:space="preserve">Largest motor starting current (Star-Delta)</t>
  </si>
  <si>
    <t xml:space="preserve">FLC x Star-Delta starting multiple</t>
  </si>
  <si>
    <t xml:space="preserve">Peak current during start of largest motor</t>
  </si>
  <si>
    <t xml:space="preserve">Max demand current with the largest motor replaced by its starting current (other loads running). Main MCCB must not trip at this value.</t>
  </si>
  <si>
    <t xml:space="preserve">C. MAIN INCOMING MCCB</t>
  </si>
  <si>
    <t xml:space="preserve">Main MCCB required rating (next standard size)</t>
  </si>
  <si>
    <t xml:space="preserve">Next standard rating above design current</t>
  </si>
  <si>
    <t xml:space="preserve">Main MCCB shown on drawing</t>
  </si>
  <si>
    <t xml:space="preserve">Drawing: Main MCCB 4P 225A</t>
  </si>
  <si>
    <t xml:space="preserve">Drawing MCCB utilisation at maximum demand</t>
  </si>
  <si>
    <t xml:space="preserve">Max demand current / drawing MCCB rating</t>
  </si>
  <si>
    <t xml:space="preserve">Calculated rating, but not less than 63 A (4-pole, with adjustable thermal setting, SPD Type 2 downstream, earth bar). Set thermal trip to design current.</t>
  </si>
  <si>
    <t xml:space="preserve">Assessment of drawing 225 A MCCB</t>
  </si>
  <si>
    <t xml:space="preserve">Comparison</t>
  </si>
  <si>
    <t xml:space="preserve">D. INCOMING CABLE (TNB meter board to MCC)</t>
  </si>
  <si>
    <t xml:space="preserve">Incoming cable length</t>
  </si>
  <si>
    <t xml:space="preserve">ASSUMED distance from TNB metering/main switch to MCC room. Edit.</t>
  </si>
  <si>
    <t xml:space="preserve">Required cable ampacity (recommended MCCB / derating)</t>
  </si>
  <si>
    <t xml:space="preserve">Cable must be protected by the main MCCB</t>
  </si>
  <si>
    <t xml:space="preserve">Incoming cable size - Cu XLPE/SWA/PVC 4-core</t>
  </si>
  <si>
    <t xml:space="preserve">Smallest standard size meeting required ampacity</t>
  </si>
  <si>
    <t xml:space="preserve">Incoming cable rating</t>
  </si>
  <si>
    <t xml:space="preserve">Voltage drop at design current</t>
  </si>
  <si>
    <t xml:space="preserve">mV/A/m x design current x length</t>
  </si>
  <si>
    <t xml:space="preserve">Voltage drop</t>
  </si>
  <si>
    <t xml:space="preserve">Limit for sub-main: see Inputs. Total from origin to motor terminals should stay within 5%.</t>
  </si>
  <si>
    <t xml:space="preserve">Voltage drop check</t>
  </si>
  <si>
    <t xml:space="preserve">E. TNB SUPPLY APPLICATION</t>
  </si>
  <si>
    <t xml:space="preserve">Supply type</t>
  </si>
  <si>
    <t xml:space="preserve">415 V, 3-phase, 4-wire, 50 Hz LV supply</t>
  </si>
  <si>
    <t xml:space="preserve">Declared maximum demand for TNB application</t>
  </si>
  <si>
    <t xml:space="preserve">Max demand kVA x (1 + spare), rounded up</t>
  </si>
  <si>
    <t xml:space="preserve">Connected load declared</t>
  </si>
  <si>
    <t xml:space="preserve">Indicative tariff category</t>
  </si>
  <si>
    <t xml:space="preserve">Indicative only - confirm with TNB regional office; actual tariff code depends on premises classification</t>
  </si>
  <si>
    <t xml:space="preserve">Energy consumption estimate</t>
  </si>
  <si>
    <t xml:space="preserve">Max demand kW x running hours/day x days/month (upper bound; backwash does not run all day)</t>
  </si>
  <si>
    <t xml:space="preserve">Energy cost estimate</t>
  </si>
  <si>
    <t xml:space="preserve">kWh x assumed tariff (Inputs)</t>
  </si>
  <si>
    <t xml:space="preserve">F. STANDBY GENERATOR (optional, if required by client)</t>
  </si>
  <si>
    <t xml:space="preserve">Running load</t>
  </si>
  <si>
    <t xml:space="preserve">Max demand kVA</t>
  </si>
  <si>
    <t xml:space="preserve">Starting kVA of largest motor (Star-Delta)</t>
  </si>
  <si>
    <t xml:space="preserve">sqrt3 x V x starting current / 1000</t>
  </si>
  <si>
    <t xml:space="preserve">Transient demand (running load minus largest motor plus its starting kVA)</t>
  </si>
  <si>
    <t xml:space="preserve">Worst case: largest motor starts with everything else running</t>
  </si>
  <si>
    <t xml:space="preserve">Generator sizing basis</t>
  </si>
  <si>
    <t xml:space="preserve">Greater of running load x 1.25 and transient demand</t>
  </si>
  <si>
    <t xml:space="preserve">Recommended generator (next standard size)</t>
  </si>
  <si>
    <t xml:space="preserve">Standard prime-rated set sizes; 415 V, 3-phase, with ATS at main incoming</t>
  </si>
  <si>
    <t xml:space="preserve">1. Maximum demand counts the raw water duty pump, backwash duty pump, treated water pump, lighting, sockets, dosing pumps, agitators and controls as running together. Standby pumps are interlocked and excluded.</t>
  </si>
  <si>
    <t xml:space="preserve">2. The 225 A main MCCB on the drawing is far above the calculated demand. It is harmless electrically, but TNB applications are assessed on declared maximum demand, and a 225 A frame implies ~160 kVA which may push the installation into CT metering and a higher connection charge. Confirm the intended future expansion before keeping 225 A.</t>
  </si>
  <si>
    <t xml:space="preserve">3. All motor feeders use Star-Delta starters per the drawing; with calculated 2.2 kW motors for the raw and treated water pumps, DOL starting would be acceptable and simpler.</t>
  </si>
  <si>
    <t xml:space="preserve">4. Earthing: single earth bar in MCC, all equipment and DBs bonded. SPD Type 2 at main incoming per drawing. Earth electrode resistance target 1 ohm or less; TT or TN-C-S per TNB supply arrangement.</t>
  </si>
  <si>
    <t xml:space="preserve">5. All assumed values are highlighted yellow on the Inputs and Load Schedule sheets. Replace them with vendor data and the workbook recalculates.</t>
  </si>
</sst>
</file>

<file path=xl/styles.xml><?xml version="1.0" encoding="utf-8"?>
<styleSheet xmlns="http://schemas.openxmlformats.org/spreadsheetml/2006/main">
  <numFmts count="12">
    <numFmt numFmtId="164" formatCode="General"/>
    <numFmt numFmtId="165" formatCode="#,##0.0"/>
    <numFmt numFmtId="166" formatCode="#,##0.00"/>
    <numFmt numFmtId="167" formatCode="General"/>
    <numFmt numFmtId="168" formatCode="0.0"/>
    <numFmt numFmtId="169" formatCode="0.00"/>
    <numFmt numFmtId="170" formatCode="0.000"/>
    <numFmt numFmtId="171" formatCode="0.0%"/>
    <numFmt numFmtId="172" formatCode="0.00000"/>
    <numFmt numFmtId="173" formatCode="0"/>
    <numFmt numFmtId="174" formatCode="0.00%"/>
    <numFmt numFmtId="175" formatCode="#,##0"/>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name val="Arial"/>
      <family val="0"/>
      <charset val="1"/>
    </font>
    <font>
      <b val="true"/>
      <sz val="11"/>
      <color rgb="FFFFFFFF"/>
      <name val="Arial"/>
      <family val="0"/>
      <charset val="1"/>
    </font>
    <font>
      <b val="true"/>
      <sz val="10"/>
      <name val="Arial"/>
      <family val="0"/>
      <charset val="1"/>
    </font>
    <font>
      <sz val="10"/>
      <name val="Arial"/>
      <family val="0"/>
      <charset val="1"/>
    </font>
    <font>
      <sz val="10"/>
      <color rgb="FF008000"/>
      <name val="Arial"/>
      <family val="0"/>
      <charset val="1"/>
    </font>
    <font>
      <sz val="10"/>
      <color rgb="FF0000FF"/>
      <name val="Arial"/>
      <family val="0"/>
      <charset val="1"/>
    </font>
    <font>
      <b val="true"/>
      <sz val="11"/>
      <name val="Arial"/>
      <family val="0"/>
      <charset val="1"/>
    </font>
    <font>
      <sz val="9"/>
      <name val="Arial"/>
      <family val="0"/>
      <charset val="1"/>
    </font>
    <font>
      <i val="true"/>
      <sz val="9"/>
      <name val="Arial"/>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4E78"/>
        <bgColor rgb="FF003366"/>
      </patternFill>
    </fill>
    <fill>
      <patternFill patternType="solid">
        <fgColor rgb="FFD9E1F2"/>
        <bgColor rgb="FFD9D9D9"/>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5" fontId="9" fillId="0" borderId="1" xfId="0" applyFont="true" applyBorder="true" applyAlignment="true" applyProtection="false">
      <alignment horizontal="center" vertical="center" textRotation="0" wrapText="true" indent="0" shrinkToFit="false"/>
      <protection locked="true" hidden="false"/>
    </xf>
    <xf numFmtId="166" fontId="9" fillId="0"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9"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7" fillId="5"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9" fontId="9" fillId="0" borderId="1" xfId="0" applyFont="true" applyBorder="true" applyAlignment="true" applyProtection="false">
      <alignment horizontal="center" vertical="center" textRotation="0" wrapText="true" indent="0" shrinkToFit="false"/>
      <protection locked="true" hidden="false"/>
    </xf>
    <xf numFmtId="167" fontId="11" fillId="5"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70" fontId="10" fillId="4" borderId="1" xfId="0" applyFont="true" applyBorder="true" applyAlignment="true" applyProtection="false">
      <alignment horizontal="center" vertical="center" textRotation="0" wrapText="true" indent="0" shrinkToFit="false"/>
      <protection locked="true" hidden="false"/>
    </xf>
    <xf numFmtId="170" fontId="10" fillId="0" borderId="1" xfId="0" applyFont="true" applyBorder="true" applyAlignment="true" applyProtection="false">
      <alignment horizontal="center" vertical="center" textRotation="0" wrapText="true" indent="0" shrinkToFit="false"/>
      <protection locked="true" hidden="false"/>
    </xf>
    <xf numFmtId="171" fontId="10"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10" fillId="4" borderId="1"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9" fontId="10" fillId="4" borderId="1" xfId="0" applyFont="true" applyBorder="true" applyAlignment="true" applyProtection="false">
      <alignment horizontal="center" vertical="center" textRotation="0" wrapText="true" indent="0" shrinkToFit="false"/>
      <protection locked="true" hidden="false"/>
    </xf>
    <xf numFmtId="169" fontId="10" fillId="0" borderId="1" xfId="0" applyFont="true" applyBorder="true" applyAlignment="true" applyProtection="false">
      <alignment horizontal="center" vertical="center" textRotation="0" wrapText="true" indent="0" shrinkToFit="false"/>
      <protection locked="true" hidden="false"/>
    </xf>
    <xf numFmtId="168" fontId="10" fillId="0" borderId="1" xfId="0" applyFont="true" applyBorder="true" applyAlignment="true" applyProtection="false">
      <alignment horizontal="center" vertical="center" textRotation="0" wrapText="true" indent="0" shrinkToFit="false"/>
      <protection locked="true" hidden="false"/>
    </xf>
    <xf numFmtId="168" fontId="8" fillId="0" borderId="1" xfId="0" applyFont="true" applyBorder="true" applyAlignment="true" applyProtection="false">
      <alignment horizontal="center" vertical="center" textRotation="0" wrapText="true" indent="0" shrinkToFit="false"/>
      <protection locked="true" hidden="false"/>
    </xf>
    <xf numFmtId="169" fontId="8" fillId="0" borderId="1" xfId="0" applyFont="true" applyBorder="true" applyAlignment="true" applyProtection="false">
      <alignment horizontal="center" vertical="center" textRotation="0" wrapText="true" indent="0" shrinkToFit="false"/>
      <protection locked="true" hidden="false"/>
    </xf>
    <xf numFmtId="172" fontId="8"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73" fontId="10" fillId="4" borderId="1" xfId="0" applyFont="true" applyBorder="true" applyAlignment="true" applyProtection="false">
      <alignment horizontal="center" vertical="center" textRotation="0" wrapText="true" indent="0" shrinkToFit="false"/>
      <protection locked="true" hidden="false"/>
    </xf>
    <xf numFmtId="168" fontId="10" fillId="4" borderId="1" xfId="0" applyFont="true" applyBorder="true" applyAlignment="true" applyProtection="false">
      <alignment horizontal="center" vertical="center" textRotation="0" wrapText="true" indent="0" shrinkToFit="false"/>
      <protection locked="true" hidden="false"/>
    </xf>
    <xf numFmtId="171" fontId="8" fillId="0"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70" fontId="9" fillId="0" borderId="1" xfId="0" applyFont="true" applyBorder="true" applyAlignment="true" applyProtection="false">
      <alignment horizontal="center" vertical="center" textRotation="0" wrapText="true" indent="0" shrinkToFit="false"/>
      <protection locked="true" hidden="false"/>
    </xf>
    <xf numFmtId="169" fontId="7" fillId="5" borderId="1" xfId="0" applyFont="true" applyBorder="true" applyAlignment="true" applyProtection="false">
      <alignment horizontal="center" vertical="center" textRotation="0" wrapText="true" indent="0" shrinkToFit="false"/>
      <protection locked="true" hidden="false"/>
    </xf>
    <xf numFmtId="173" fontId="8" fillId="0" borderId="1" xfId="0" applyFont="true" applyBorder="true" applyAlignment="true" applyProtection="false">
      <alignment horizontal="center" vertical="center" textRotation="0" wrapText="true" indent="0" shrinkToFit="false"/>
      <protection locked="true" hidden="false"/>
    </xf>
    <xf numFmtId="173" fontId="10" fillId="0" borderId="1" xfId="0" applyFont="true" applyBorder="true" applyAlignment="true" applyProtection="false">
      <alignment horizontal="center" vertical="center" textRotation="0" wrapText="true" indent="0" shrinkToFit="false"/>
      <protection locked="true" hidden="false"/>
    </xf>
    <xf numFmtId="174" fontId="8" fillId="0" borderId="1" xfId="0" applyFont="true" applyBorder="true" applyAlignment="true" applyProtection="false">
      <alignment horizontal="center" vertical="center" textRotation="0" wrapText="true" indent="0" shrinkToFit="false"/>
      <protection locked="true" hidden="false"/>
    </xf>
    <xf numFmtId="175" fontId="8" fillId="0" borderId="1" xfId="0" applyFont="true" applyBorder="true" applyAlignment="true" applyProtection="false">
      <alignment horizontal="center" vertical="center" textRotation="0" wrapText="true" indent="0" shrinkToFit="false"/>
      <protection locked="true" hidden="false"/>
    </xf>
    <xf numFmtId="166" fontId="8" fillId="0" borderId="1" xfId="0" applyFont="true" applyBorder="true" applyAlignment="true" applyProtection="false">
      <alignment horizontal="center" vertical="center" textRotation="0" wrapText="true" indent="0" shrinkToFit="false"/>
      <protection locked="true" hidden="false"/>
    </xf>
    <xf numFmtId="166" fontId="7" fillId="5" borderId="1" xfId="0" applyFont="true" applyBorder="true" applyAlignment="true" applyProtection="false">
      <alignment horizontal="center" vertical="center" textRotation="0" wrapText="true" indent="0" shrinkToFit="false"/>
      <protection locked="true" hidden="false"/>
    </xf>
    <xf numFmtId="175" fontId="7" fillId="5" borderId="1" xfId="0" applyFont="true" applyBorder="true" applyAlignment="true" applyProtection="false">
      <alignment horizontal="center" vertical="center" textRotation="0" wrapText="true" indent="0" shrinkToFit="false"/>
      <protection locked="true" hidden="false"/>
    </xf>
    <xf numFmtId="170" fontId="8" fillId="0" borderId="1" xfId="0" applyFont="true" applyBorder="true" applyAlignment="true" applyProtection="false">
      <alignment horizontal="center" vertical="center" textRotation="0" wrapText="true" indent="0" shrinkToFit="false"/>
      <protection locked="true" hidden="false"/>
    </xf>
    <xf numFmtId="165" fontId="8" fillId="0" borderId="1" xfId="0" applyFont="true" applyBorder="true" applyAlignment="true" applyProtection="false">
      <alignment horizontal="center" vertical="center" textRotation="0" wrapText="true" indent="0" shrinkToFit="false"/>
      <protection locked="true" hidden="false"/>
    </xf>
    <xf numFmtId="165" fontId="10"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3B3B3"/>
      <rgbColor rgb="FF8AA64F"/>
      <rgbColor rgb="FF93A9CE"/>
      <rgbColor rgb="FFAB4744"/>
      <rgbColor rgb="FFF2F2F2"/>
      <rgbColor rgb="FFD9E1F2"/>
      <rgbColor rgb="FF660066"/>
      <rgbColor rgb="FFDC853E"/>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D09493"/>
      <rgbColor rgb="FFCC99FF"/>
      <rgbColor rgb="FFFFCC99"/>
      <rgbColor rgb="FF4672A8"/>
      <rgbColor rgb="FF33CCCC"/>
      <rgbColor rgb="FF99CC00"/>
      <rgbColor rgb="FFFFCC00"/>
      <rgbColor rgb="FFFF9900"/>
      <rgbColor rgb="FFFF6600"/>
      <rgbColor rgb="FF725990"/>
      <rgbColor rgb="FF999999"/>
      <rgbColor rgb="FF003366"/>
      <rgbColor rgb="FF4299B0"/>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24-hour load profile (kW)</a:t>
            </a:r>
          </a:p>
        </c:rich>
      </c:tx>
      <c:overlay val="0"/>
      <c:spPr>
        <a:noFill/>
        <a:ln w="0">
          <a:noFill/>
        </a:ln>
      </c:spPr>
    </c:title>
    <c:autoTitleDeleted val="0"/>
    <c:plotArea>
      <c:barChart>
        <c:barDir val="col"/>
        <c:grouping val="stacked"/>
        <c:varyColors val="0"/>
        <c:ser>
          <c:idx val="0"/>
          <c:order val="0"/>
          <c:tx>
            <c:strRef>
              <c:f>'Energy Consumption'!A38</c:f>
              <c:strCache>
                <c:ptCount val="1"/>
                <c:pt idx="0">
                  <c:v>Raw Water Pump (duty)</c:v>
                </c:pt>
              </c:strCache>
            </c:strRef>
          </c:tx>
          <c:spPr>
            <a:solidFill>
              <a:srgbClr val="4672a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'Energy Consumption'!$B$37:$Y$37</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'Energy Consumption'!$B$38:$Y$38</c:f>
              <c:numCache>
                <c:formatCode>0.00</c:formatCode>
                <c:ptCount val="24"/>
                <c:pt idx="0">
                  <c:v>0</c:v>
                </c:pt>
                <c:pt idx="1">
                  <c:v>0</c:v>
                </c:pt>
                <c:pt idx="2">
                  <c:v>0</c:v>
                </c:pt>
                <c:pt idx="3">
                  <c:v>0</c:v>
                </c:pt>
                <c:pt idx="4">
                  <c:v>0</c:v>
                </c:pt>
                <c:pt idx="5">
                  <c:v>0</c:v>
                </c:pt>
                <c:pt idx="6">
                  <c:v>0</c:v>
                </c:pt>
                <c:pt idx="7">
                  <c:v>0</c:v>
                </c:pt>
                <c:pt idx="8">
                  <c:v>0.956426302716139</c:v>
                </c:pt>
                <c:pt idx="9">
                  <c:v>0.956426302716139</c:v>
                </c:pt>
                <c:pt idx="10">
                  <c:v>0.956426302716139</c:v>
                </c:pt>
                <c:pt idx="11">
                  <c:v>0.956426302716139</c:v>
                </c:pt>
                <c:pt idx="12">
                  <c:v>0.956426302716139</c:v>
                </c:pt>
                <c:pt idx="13">
                  <c:v>0.956426302716139</c:v>
                </c:pt>
                <c:pt idx="14">
                  <c:v>0</c:v>
                </c:pt>
                <c:pt idx="15">
                  <c:v>0</c:v>
                </c:pt>
                <c:pt idx="16">
                  <c:v>0</c:v>
                </c:pt>
                <c:pt idx="17">
                  <c:v>0</c:v>
                </c:pt>
                <c:pt idx="18">
                  <c:v>0</c:v>
                </c:pt>
                <c:pt idx="19">
                  <c:v>0</c:v>
                </c:pt>
                <c:pt idx="20">
                  <c:v>0</c:v>
                </c:pt>
                <c:pt idx="21">
                  <c:v>0</c:v>
                </c:pt>
                <c:pt idx="22">
                  <c:v>0</c:v>
                </c:pt>
                <c:pt idx="23">
                  <c:v>0</c:v>
                </c:pt>
              </c:numCache>
            </c:numRef>
          </c:val>
        </c:ser>
        <c:ser>
          <c:idx val="1"/>
          <c:order val="1"/>
          <c:tx>
            <c:strRef>
              <c:f>'Energy Consumption'!A39</c:f>
              <c:strCache>
                <c:ptCount val="1"/>
                <c:pt idx="0">
                  <c:v>Backwash Pump (duty)</c:v>
                </c:pt>
              </c:strCache>
            </c:strRef>
          </c:tx>
          <c:spPr>
            <a:solidFill>
              <a:srgbClr val="ab474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'Energy Consumption'!$B$37:$Y$37</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'Energy Consumption'!$B$39:$Y$39</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0.310202008169387</c:v>
                </c:pt>
                <c:pt idx="15">
                  <c:v>0</c:v>
                </c:pt>
                <c:pt idx="16">
                  <c:v>0</c:v>
                </c:pt>
                <c:pt idx="17">
                  <c:v>0</c:v>
                </c:pt>
                <c:pt idx="18">
                  <c:v>0</c:v>
                </c:pt>
                <c:pt idx="19">
                  <c:v>0</c:v>
                </c:pt>
                <c:pt idx="20">
                  <c:v>0</c:v>
                </c:pt>
                <c:pt idx="21">
                  <c:v>0</c:v>
                </c:pt>
                <c:pt idx="22">
                  <c:v>0</c:v>
                </c:pt>
                <c:pt idx="23">
                  <c:v>0</c:v>
                </c:pt>
              </c:numCache>
            </c:numRef>
          </c:val>
        </c:ser>
        <c:ser>
          <c:idx val="2"/>
          <c:order val="2"/>
          <c:tx>
            <c:strRef>
              <c:f>'Energy Consumption'!A40</c:f>
              <c:strCache>
                <c:ptCount val="1"/>
                <c:pt idx="0">
                  <c:v>Treated Water Pump</c:v>
                </c:pt>
              </c:strCache>
            </c:strRef>
          </c:tx>
          <c:spPr>
            <a:solidFill>
              <a:srgbClr val="8aa64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'Energy Consumption'!$B$37:$Y$37</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'Energy Consumption'!$B$40:$Y$40</c:f>
              <c:numCache>
                <c:formatCode>0.00</c:formatCode>
                <c:ptCount val="24"/>
                <c:pt idx="0">
                  <c:v>0</c:v>
                </c:pt>
                <c:pt idx="1">
                  <c:v>0</c:v>
                </c:pt>
                <c:pt idx="2">
                  <c:v>0</c:v>
                </c:pt>
                <c:pt idx="3">
                  <c:v>0</c:v>
                </c:pt>
                <c:pt idx="4">
                  <c:v>0</c:v>
                </c:pt>
                <c:pt idx="5">
                  <c:v>0</c:v>
                </c:pt>
                <c:pt idx="6">
                  <c:v>0</c:v>
                </c:pt>
                <c:pt idx="7">
                  <c:v>0</c:v>
                </c:pt>
                <c:pt idx="8">
                  <c:v>1.57080990337962</c:v>
                </c:pt>
                <c:pt idx="9">
                  <c:v>1.57080990337962</c:v>
                </c:pt>
                <c:pt idx="10">
                  <c:v>1.57080990337962</c:v>
                </c:pt>
                <c:pt idx="11">
                  <c:v>1.57080990337962</c:v>
                </c:pt>
                <c:pt idx="12">
                  <c:v>1.57080990337962</c:v>
                </c:pt>
                <c:pt idx="13">
                  <c:v>1.57080990337962</c:v>
                </c:pt>
                <c:pt idx="14">
                  <c:v>0</c:v>
                </c:pt>
                <c:pt idx="15">
                  <c:v>0</c:v>
                </c:pt>
                <c:pt idx="16">
                  <c:v>0</c:v>
                </c:pt>
                <c:pt idx="17">
                  <c:v>0</c:v>
                </c:pt>
                <c:pt idx="18">
                  <c:v>0</c:v>
                </c:pt>
                <c:pt idx="19">
                  <c:v>0</c:v>
                </c:pt>
                <c:pt idx="20">
                  <c:v>0</c:v>
                </c:pt>
                <c:pt idx="21">
                  <c:v>0</c:v>
                </c:pt>
                <c:pt idx="22">
                  <c:v>0</c:v>
                </c:pt>
                <c:pt idx="23">
                  <c:v>0</c:v>
                </c:pt>
              </c:numCache>
            </c:numRef>
          </c:val>
        </c:ser>
        <c:ser>
          <c:idx val="3"/>
          <c:order val="3"/>
          <c:tx>
            <c:strRef>
              <c:f>'Energy Consumption'!A41</c:f>
              <c:strCache>
                <c:ptCount val="1"/>
                <c:pt idx="0">
                  <c:v>Lighting</c:v>
                </c:pt>
              </c:strCache>
            </c:strRef>
          </c:tx>
          <c:spPr>
            <a:solidFill>
              <a:srgbClr val="72599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'Energy Consumption'!$B$37:$Y$37</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'Energy Consumption'!$B$41:$Y$41</c:f>
              <c:numCache>
                <c:formatCode>0.00</c:formatCode>
                <c:ptCount val="24"/>
                <c:pt idx="0">
                  <c:v>1.2</c:v>
                </c:pt>
                <c:pt idx="1">
                  <c:v>1.2</c:v>
                </c:pt>
                <c:pt idx="2">
                  <c:v>1.2</c:v>
                </c:pt>
                <c:pt idx="3">
                  <c:v>1.2</c:v>
                </c:pt>
                <c:pt idx="4">
                  <c:v>1.2</c:v>
                </c:pt>
                <c:pt idx="5">
                  <c:v>1.2</c:v>
                </c:pt>
                <c:pt idx="6">
                  <c:v>0</c:v>
                </c:pt>
                <c:pt idx="7">
                  <c:v>0</c:v>
                </c:pt>
                <c:pt idx="8">
                  <c:v>0</c:v>
                </c:pt>
                <c:pt idx="9">
                  <c:v>0</c:v>
                </c:pt>
                <c:pt idx="10">
                  <c:v>0</c:v>
                </c:pt>
                <c:pt idx="11">
                  <c:v>0</c:v>
                </c:pt>
                <c:pt idx="12">
                  <c:v>0</c:v>
                </c:pt>
                <c:pt idx="13">
                  <c:v>0</c:v>
                </c:pt>
                <c:pt idx="14">
                  <c:v>0</c:v>
                </c:pt>
                <c:pt idx="15">
                  <c:v>0</c:v>
                </c:pt>
                <c:pt idx="16">
                  <c:v>0</c:v>
                </c:pt>
                <c:pt idx="17">
                  <c:v>0</c:v>
                </c:pt>
                <c:pt idx="18">
                  <c:v>1.2</c:v>
                </c:pt>
                <c:pt idx="19">
                  <c:v>1.2</c:v>
                </c:pt>
                <c:pt idx="20">
                  <c:v>1.2</c:v>
                </c:pt>
                <c:pt idx="21">
                  <c:v>1.2</c:v>
                </c:pt>
                <c:pt idx="22">
                  <c:v>1.2</c:v>
                </c:pt>
                <c:pt idx="23">
                  <c:v>1.2</c:v>
                </c:pt>
              </c:numCache>
            </c:numRef>
          </c:val>
        </c:ser>
        <c:ser>
          <c:idx val="4"/>
          <c:order val="4"/>
          <c:tx>
            <c:strRef>
              <c:f>'Energy Consumption'!A42</c:f>
              <c:strCache>
                <c:ptCount val="1"/>
                <c:pt idx="0">
                  <c:v>Socket outlets</c:v>
                </c:pt>
              </c:strCache>
            </c:strRef>
          </c:tx>
          <c:spPr>
            <a:solidFill>
              <a:srgbClr val="4299b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'Energy Consumption'!$B$37:$Y$37</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'Energy Consumption'!$B$42:$Y$42</c:f>
              <c:numCache>
                <c:formatCode>0.00</c:formatCode>
                <c:ptCount val="24"/>
                <c:pt idx="0">
                  <c:v>0</c:v>
                </c:pt>
                <c:pt idx="1">
                  <c:v>0</c:v>
                </c:pt>
                <c:pt idx="2">
                  <c:v>0</c:v>
                </c:pt>
                <c:pt idx="3">
                  <c:v>0</c:v>
                </c:pt>
                <c:pt idx="4">
                  <c:v>0</c:v>
                </c:pt>
                <c:pt idx="5">
                  <c:v>0</c:v>
                </c:pt>
                <c:pt idx="6">
                  <c:v>0</c:v>
                </c:pt>
                <c:pt idx="7">
                  <c:v>0</c:v>
                </c:pt>
                <c:pt idx="8">
                  <c:v>0.6</c:v>
                </c:pt>
                <c:pt idx="9">
                  <c:v>0.6</c:v>
                </c:pt>
                <c:pt idx="10">
                  <c:v>0.6</c:v>
                </c:pt>
                <c:pt idx="11">
                  <c:v>0.6</c:v>
                </c:pt>
                <c:pt idx="12">
                  <c:v>0</c:v>
                </c:pt>
                <c:pt idx="13">
                  <c:v>0</c:v>
                </c:pt>
                <c:pt idx="14">
                  <c:v>0</c:v>
                </c:pt>
                <c:pt idx="15">
                  <c:v>0</c:v>
                </c:pt>
                <c:pt idx="16">
                  <c:v>0</c:v>
                </c:pt>
                <c:pt idx="17">
                  <c:v>0</c:v>
                </c:pt>
                <c:pt idx="18">
                  <c:v>0</c:v>
                </c:pt>
                <c:pt idx="19">
                  <c:v>0</c:v>
                </c:pt>
                <c:pt idx="20">
                  <c:v>0</c:v>
                </c:pt>
                <c:pt idx="21">
                  <c:v>0</c:v>
                </c:pt>
                <c:pt idx="22">
                  <c:v>0</c:v>
                </c:pt>
                <c:pt idx="23">
                  <c:v>0</c:v>
                </c:pt>
              </c:numCache>
            </c:numRef>
          </c:val>
        </c:ser>
        <c:ser>
          <c:idx val="5"/>
          <c:order val="5"/>
          <c:tx>
            <c:strRef>
              <c:f>'Energy Consumption'!A43</c:f>
              <c:strCache>
                <c:ptCount val="1"/>
                <c:pt idx="0">
                  <c:v>Chemical dosing pumps (4 nos)</c:v>
                </c:pt>
              </c:strCache>
            </c:strRef>
          </c:tx>
          <c:spPr>
            <a:solidFill>
              <a:srgbClr val="dc853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'Energy Consumption'!$B$37:$Y$37</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'Energy Consumption'!$B$43:$Y$43</c:f>
              <c:numCache>
                <c:formatCode>0.00</c:formatCode>
                <c:ptCount val="24"/>
                <c:pt idx="0">
                  <c:v>0</c:v>
                </c:pt>
                <c:pt idx="1">
                  <c:v>0</c:v>
                </c:pt>
                <c:pt idx="2">
                  <c:v>0</c:v>
                </c:pt>
                <c:pt idx="3">
                  <c:v>0</c:v>
                </c:pt>
                <c:pt idx="4">
                  <c:v>0</c:v>
                </c:pt>
                <c:pt idx="5">
                  <c:v>0</c:v>
                </c:pt>
                <c:pt idx="6">
                  <c:v>0</c:v>
                </c:pt>
                <c:pt idx="7">
                  <c:v>0</c:v>
                </c:pt>
                <c:pt idx="8">
                  <c:v>0.375</c:v>
                </c:pt>
                <c:pt idx="9">
                  <c:v>0.375</c:v>
                </c:pt>
                <c:pt idx="10">
                  <c:v>0.375</c:v>
                </c:pt>
                <c:pt idx="11">
                  <c:v>0.375</c:v>
                </c:pt>
                <c:pt idx="12">
                  <c:v>0.375</c:v>
                </c:pt>
                <c:pt idx="13">
                  <c:v>0.375</c:v>
                </c:pt>
                <c:pt idx="14">
                  <c:v>0</c:v>
                </c:pt>
                <c:pt idx="15">
                  <c:v>0</c:v>
                </c:pt>
                <c:pt idx="16">
                  <c:v>0</c:v>
                </c:pt>
                <c:pt idx="17">
                  <c:v>0</c:v>
                </c:pt>
                <c:pt idx="18">
                  <c:v>0</c:v>
                </c:pt>
                <c:pt idx="19">
                  <c:v>0</c:v>
                </c:pt>
                <c:pt idx="20">
                  <c:v>0</c:v>
                </c:pt>
                <c:pt idx="21">
                  <c:v>0</c:v>
                </c:pt>
                <c:pt idx="22">
                  <c:v>0</c:v>
                </c:pt>
                <c:pt idx="23">
                  <c:v>0</c:v>
                </c:pt>
              </c:numCache>
            </c:numRef>
          </c:val>
        </c:ser>
        <c:ser>
          <c:idx val="6"/>
          <c:order val="6"/>
          <c:tx>
            <c:strRef>
              <c:f>'Energy Consumption'!A44</c:f>
              <c:strCache>
                <c:ptCount val="1"/>
                <c:pt idx="0">
                  <c:v>Agitators (4 nos)</c:v>
                </c:pt>
              </c:strCache>
            </c:strRef>
          </c:tx>
          <c:spPr>
            <a:solidFill>
              <a:srgbClr val="93a9c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'Energy Consumption'!$B$37:$Y$37</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'Energy Consumption'!$B$44:$Y$44</c:f>
              <c:numCache>
                <c:formatCode>0.00</c:formatCode>
                <c:ptCount val="24"/>
                <c:pt idx="0">
                  <c:v>0</c:v>
                </c:pt>
                <c:pt idx="1">
                  <c:v>0</c:v>
                </c:pt>
                <c:pt idx="2">
                  <c:v>0</c:v>
                </c:pt>
                <c:pt idx="3">
                  <c:v>0</c:v>
                </c:pt>
                <c:pt idx="4">
                  <c:v>0</c:v>
                </c:pt>
                <c:pt idx="5">
                  <c:v>0</c:v>
                </c:pt>
                <c:pt idx="6">
                  <c:v>0</c:v>
                </c:pt>
                <c:pt idx="7">
                  <c:v>1.32142857142857</c:v>
                </c:pt>
                <c:pt idx="8">
                  <c:v>1.32142857142857</c:v>
                </c:pt>
                <c:pt idx="9">
                  <c:v>1.32142857142857</c:v>
                </c:pt>
                <c:pt idx="10">
                  <c:v>1.32142857142857</c:v>
                </c:pt>
                <c:pt idx="11">
                  <c:v>1.32142857142857</c:v>
                </c:pt>
                <c:pt idx="12">
                  <c:v>1.32142857142857</c:v>
                </c:pt>
                <c:pt idx="13">
                  <c:v>1.32142857142857</c:v>
                </c:pt>
                <c:pt idx="14">
                  <c:v>1.32142857142857</c:v>
                </c:pt>
                <c:pt idx="15">
                  <c:v>0</c:v>
                </c:pt>
                <c:pt idx="16">
                  <c:v>0</c:v>
                </c:pt>
                <c:pt idx="17">
                  <c:v>0</c:v>
                </c:pt>
                <c:pt idx="18">
                  <c:v>0</c:v>
                </c:pt>
                <c:pt idx="19">
                  <c:v>0</c:v>
                </c:pt>
                <c:pt idx="20">
                  <c:v>0</c:v>
                </c:pt>
                <c:pt idx="21">
                  <c:v>0</c:v>
                </c:pt>
                <c:pt idx="22">
                  <c:v>0</c:v>
                </c:pt>
                <c:pt idx="23">
                  <c:v>0</c:v>
                </c:pt>
              </c:numCache>
            </c:numRef>
          </c:val>
        </c:ser>
        <c:ser>
          <c:idx val="7"/>
          <c:order val="7"/>
          <c:tx>
            <c:strRef>
              <c:f>'Energy Consumption'!A45</c:f>
              <c:strCache>
                <c:ptCount val="1"/>
                <c:pt idx="0">
                  <c:v>Control panel, PLC, instruments</c:v>
                </c:pt>
              </c:strCache>
            </c:strRef>
          </c:tx>
          <c:spPr>
            <a:solidFill>
              <a:srgbClr val="d0949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'Energy Consumption'!$B$37:$Y$37</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'Energy Consumption'!$B$45:$Y$45</c:f>
              <c:numCache>
                <c:formatCode>0.00</c:formatCode>
                <c:ptCount val="24"/>
                <c:pt idx="0">
                  <c:v>0.3</c:v>
                </c:pt>
                <c:pt idx="1">
                  <c:v>0.3</c:v>
                </c:pt>
                <c:pt idx="2">
                  <c:v>0.3</c:v>
                </c:pt>
                <c:pt idx="3">
                  <c:v>0.3</c:v>
                </c:pt>
                <c:pt idx="4">
                  <c:v>0.3</c:v>
                </c:pt>
                <c:pt idx="5">
                  <c:v>0.3</c:v>
                </c:pt>
                <c:pt idx="6">
                  <c:v>0.3</c:v>
                </c:pt>
                <c:pt idx="7">
                  <c:v>0.3</c:v>
                </c:pt>
                <c:pt idx="8">
                  <c:v>0.3</c:v>
                </c:pt>
                <c:pt idx="9">
                  <c:v>0.3</c:v>
                </c:pt>
                <c:pt idx="10">
                  <c:v>0.3</c:v>
                </c:pt>
                <c:pt idx="11">
                  <c:v>0.3</c:v>
                </c:pt>
                <c:pt idx="12">
                  <c:v>0.3</c:v>
                </c:pt>
                <c:pt idx="13">
                  <c:v>0.3</c:v>
                </c:pt>
                <c:pt idx="14">
                  <c:v>0.3</c:v>
                </c:pt>
                <c:pt idx="15">
                  <c:v>0.3</c:v>
                </c:pt>
                <c:pt idx="16">
                  <c:v>0.3</c:v>
                </c:pt>
                <c:pt idx="17">
                  <c:v>0.3</c:v>
                </c:pt>
                <c:pt idx="18">
                  <c:v>0.3</c:v>
                </c:pt>
                <c:pt idx="19">
                  <c:v>0.3</c:v>
                </c:pt>
                <c:pt idx="20">
                  <c:v>0.3</c:v>
                </c:pt>
                <c:pt idx="21">
                  <c:v>0.3</c:v>
                </c:pt>
                <c:pt idx="22">
                  <c:v>0.3</c:v>
                </c:pt>
                <c:pt idx="23">
                  <c:v>0.3</c:v>
                </c:pt>
              </c:numCache>
            </c:numRef>
          </c:val>
        </c:ser>
        <c:gapWidth val="150"/>
        <c:overlap val="100"/>
        <c:axId val="87252743"/>
        <c:axId val="78369339"/>
      </c:barChart>
      <c:catAx>
        <c:axId val="8725274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Hour</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8369339"/>
        <c:crosses val="autoZero"/>
        <c:auto val="1"/>
        <c:lblAlgn val="ctr"/>
        <c:lblOffset val="100"/>
        <c:noMultiLvlLbl val="0"/>
      </c:catAx>
      <c:valAx>
        <c:axId val="78369339"/>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kW</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725274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15</xdr:row>
      <xdr:rowOff>50760</xdr:rowOff>
    </xdr:from>
    <xdr:to>
      <xdr:col>15</xdr:col>
      <xdr:colOff>337680</xdr:colOff>
      <xdr:row>17</xdr:row>
      <xdr:rowOff>837000</xdr:rowOff>
    </xdr:to>
    <xdr:graphicFrame>
      <xdr:nvGraphicFramePr>
        <xdr:cNvPr id="0" name="Chart 1"/>
        <xdr:cNvGraphicFramePr/>
      </xdr:nvGraphicFramePr>
      <xdr:xfrm>
        <a:off x="0" y="9906120"/>
        <a:ext cx="93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16"/>
    <col collapsed="false" customWidth="true" hidden="false" outlineLevel="0" max="3" min="3" style="1" width="12"/>
    <col collapsed="false" customWidth="true" hidden="false" outlineLevel="0" max="4" min="4" style="1" width="60"/>
  </cols>
  <sheetData>
    <row r="1" customFormat="false" ht="17.25" hidden="false" customHeight="true" outlineLevel="0" collapsed="false">
      <c r="A1" s="2" t="s">
        <v>0</v>
      </c>
    </row>
    <row r="2" customFormat="false" ht="15" hidden="false" customHeight="true" outlineLevel="0" collapsed="false">
      <c r="A2" s="3" t="s">
        <v>1</v>
      </c>
    </row>
    <row r="4" customFormat="false" ht="42" hidden="false" customHeight="true" outlineLevel="0" collapsed="false">
      <c r="A4" s="4" t="s">
        <v>2</v>
      </c>
      <c r="B4" s="4" t="s">
        <v>3</v>
      </c>
      <c r="C4" s="4" t="s">
        <v>4</v>
      </c>
      <c r="D4" s="4" t="s">
        <v>5</v>
      </c>
    </row>
    <row r="5" customFormat="false" ht="15" hidden="false" customHeight="true" outlineLevel="0" collapsed="false">
      <c r="A5" s="5" t="s">
        <v>6</v>
      </c>
      <c r="B5" s="6"/>
      <c r="C5" s="6"/>
      <c r="D5" s="6"/>
    </row>
    <row r="6" customFormat="false" ht="15" hidden="false" customHeight="true" outlineLevel="0" collapsed="false">
      <c r="A6" s="7" t="s">
        <v>7</v>
      </c>
      <c r="B6" s="8" t="n">
        <f aca="false">'Pump Sizing'!K5</f>
        <v>2.2</v>
      </c>
      <c r="C6" s="7" t="s">
        <v>8</v>
      </c>
      <c r="D6" s="7" t="s">
        <v>9</v>
      </c>
    </row>
    <row r="7" customFormat="false" ht="15" hidden="false" customHeight="true" outlineLevel="0" collapsed="false">
      <c r="A7" s="7" t="s">
        <v>10</v>
      </c>
      <c r="B7" s="8" t="n">
        <f aca="false">'Pump Sizing'!L5</f>
        <v>5.5</v>
      </c>
      <c r="C7" s="7" t="s">
        <v>8</v>
      </c>
      <c r="D7" s="7"/>
    </row>
    <row r="8" customFormat="false" ht="15" hidden="false" customHeight="true" outlineLevel="0" collapsed="false">
      <c r="A8" s="7" t="s">
        <v>11</v>
      </c>
      <c r="B8" s="8" t="n">
        <f aca="false">'Pump Sizing'!K7</f>
        <v>5.5</v>
      </c>
      <c r="C8" s="7" t="s">
        <v>8</v>
      </c>
      <c r="D8" s="7" t="s">
        <v>12</v>
      </c>
    </row>
    <row r="9" customFormat="false" ht="15" hidden="false" customHeight="true" outlineLevel="0" collapsed="false">
      <c r="A9" s="7" t="s">
        <v>13</v>
      </c>
      <c r="B9" s="8" t="n">
        <f aca="false">'Pump Sizing'!L7</f>
        <v>5.5</v>
      </c>
      <c r="C9" s="7" t="s">
        <v>8</v>
      </c>
      <c r="D9" s="7"/>
    </row>
    <row r="10" customFormat="false" ht="15" hidden="false" customHeight="true" outlineLevel="0" collapsed="false">
      <c r="A10" s="7" t="s">
        <v>14</v>
      </c>
      <c r="B10" s="8" t="n">
        <f aca="false">'Pump Sizing'!K9</f>
        <v>2.2</v>
      </c>
      <c r="C10" s="7" t="s">
        <v>8</v>
      </c>
      <c r="D10" s="7" t="s">
        <v>15</v>
      </c>
    </row>
    <row r="11" customFormat="false" ht="15" hidden="false" customHeight="true" outlineLevel="0" collapsed="false">
      <c r="A11" s="7" t="s">
        <v>16</v>
      </c>
      <c r="B11" s="8" t="n">
        <f aca="false">'Pump Sizing'!L9</f>
        <v>5.5</v>
      </c>
      <c r="C11" s="7" t="s">
        <v>8</v>
      </c>
      <c r="D11" s="7"/>
    </row>
    <row r="12" customFormat="false" ht="15" hidden="false" customHeight="true" outlineLevel="0" collapsed="false">
      <c r="A12" s="7" t="s">
        <v>17</v>
      </c>
      <c r="B12" s="8" t="n">
        <f aca="false">'Pump Sizing'!M11</f>
        <v>27.5</v>
      </c>
      <c r="C12" s="7" t="s">
        <v>8</v>
      </c>
      <c r="D12" s="7" t="s">
        <v>18</v>
      </c>
    </row>
    <row r="13" customFormat="false" ht="15" hidden="false" customHeight="true" outlineLevel="0" collapsed="false">
      <c r="A13" s="7" t="s">
        <v>19</v>
      </c>
      <c r="B13" s="8" t="n">
        <f aca="false">'Pump Sizing'!P5</f>
        <v>10.0467831848706</v>
      </c>
      <c r="C13" s="7" t="s">
        <v>20</v>
      </c>
      <c r="D13" s="7"/>
    </row>
    <row r="14" customFormat="false" ht="15" hidden="false" customHeight="true" outlineLevel="0" collapsed="false">
      <c r="A14" s="7" t="s">
        <v>21</v>
      </c>
      <c r="B14" s="8" t="n">
        <f aca="false">'Load Schedule'!Q5</f>
        <v>25</v>
      </c>
      <c r="C14" s="7" t="s">
        <v>20</v>
      </c>
      <c r="D14" s="7" t="s">
        <v>22</v>
      </c>
    </row>
    <row r="15" customFormat="false" ht="15" hidden="false" customHeight="true" outlineLevel="0" collapsed="false">
      <c r="A15" s="7" t="s">
        <v>23</v>
      </c>
      <c r="B15" s="8" t="n">
        <f aca="false">'Load Schedule'!V5</f>
        <v>2.5</v>
      </c>
      <c r="C15" s="7" t="s">
        <v>24</v>
      </c>
      <c r="D15" s="7" t="s">
        <v>25</v>
      </c>
    </row>
    <row r="16" customFormat="false" ht="15" hidden="false" customHeight="true" outlineLevel="0" collapsed="false">
      <c r="A16" s="5" t="s">
        <v>26</v>
      </c>
      <c r="B16" s="6"/>
      <c r="C16" s="6"/>
      <c r="D16" s="6"/>
    </row>
    <row r="17" customFormat="false" ht="15" hidden="false" customHeight="true" outlineLevel="0" collapsed="false">
      <c r="A17" s="7" t="s">
        <v>27</v>
      </c>
      <c r="B17" s="8" t="n">
        <f aca="false">'Incoming Supply'!B6</f>
        <v>33.96</v>
      </c>
      <c r="C17" s="7" t="s">
        <v>8</v>
      </c>
      <c r="D17" s="7"/>
    </row>
    <row r="18" customFormat="false" ht="15" hidden="false" customHeight="true" outlineLevel="0" collapsed="false">
      <c r="A18" s="7" t="s">
        <v>28</v>
      </c>
      <c r="B18" s="8" t="n">
        <f aca="false">'Incoming Supply'!B8</f>
        <v>27.9051120448179</v>
      </c>
      <c r="C18" s="7" t="s">
        <v>29</v>
      </c>
      <c r="D18" s="7" t="s">
        <v>30</v>
      </c>
    </row>
    <row r="19" customFormat="false" ht="15" hidden="false" customHeight="true" outlineLevel="0" collapsed="false">
      <c r="A19" s="7" t="s">
        <v>31</v>
      </c>
      <c r="B19" s="8" t="n">
        <f aca="false">'Incoming Supply'!B10</f>
        <v>38.821744459861</v>
      </c>
      <c r="C19" s="7" t="s">
        <v>20</v>
      </c>
      <c r="D19" s="7"/>
    </row>
    <row r="20" customFormat="false" ht="15" hidden="false" customHeight="true" outlineLevel="0" collapsed="false">
      <c r="A20" s="7" t="s">
        <v>32</v>
      </c>
      <c r="B20" s="8" t="n">
        <f aca="false">'Incoming Supply'!B13</f>
        <v>48.5271805748262</v>
      </c>
      <c r="C20" s="7" t="s">
        <v>20</v>
      </c>
      <c r="D20" s="7"/>
    </row>
    <row r="21" customFormat="false" ht="15" hidden="false" customHeight="true" outlineLevel="0" collapsed="false">
      <c r="A21" s="7" t="s">
        <v>33</v>
      </c>
      <c r="B21" s="8" t="n">
        <f aca="false">'Incoming Supply'!B21</f>
        <v>63</v>
      </c>
      <c r="C21" s="7" t="s">
        <v>20</v>
      </c>
      <c r="D21" s="7" t="s">
        <v>34</v>
      </c>
    </row>
    <row r="22" customFormat="false" ht="15" hidden="false" customHeight="true" outlineLevel="0" collapsed="false">
      <c r="A22" s="7" t="s">
        <v>35</v>
      </c>
      <c r="B22" s="8" t="n">
        <f aca="false">'Incoming Supply'!B19</f>
        <v>225</v>
      </c>
      <c r="C22" s="7" t="s">
        <v>20</v>
      </c>
      <c r="D22" s="7" t="s">
        <v>36</v>
      </c>
    </row>
    <row r="23" customFormat="false" ht="15" hidden="false" customHeight="true" outlineLevel="0" collapsed="false">
      <c r="A23" s="7" t="s">
        <v>37</v>
      </c>
      <c r="B23" s="8" t="n">
        <f aca="false">'Incoming Supply'!B26</f>
        <v>16</v>
      </c>
      <c r="C23" s="7" t="s">
        <v>24</v>
      </c>
      <c r="D23" s="7" t="s">
        <v>25</v>
      </c>
    </row>
    <row r="24" customFormat="false" ht="15" hidden="false" customHeight="true" outlineLevel="0" collapsed="false">
      <c r="A24" s="7" t="s">
        <v>38</v>
      </c>
      <c r="B24" s="8" t="n">
        <f aca="false">'Incoming Supply'!B33</f>
        <v>35</v>
      </c>
      <c r="C24" s="7" t="s">
        <v>29</v>
      </c>
      <c r="D24" s="7"/>
    </row>
    <row r="25" customFormat="false" ht="15" hidden="false" customHeight="true" outlineLevel="0" collapsed="false">
      <c r="A25" s="7" t="s">
        <v>39</v>
      </c>
      <c r="B25" s="8" t="n">
        <f aca="false">'Incoming Supply'!B43</f>
        <v>40</v>
      </c>
      <c r="C25" s="7" t="s">
        <v>29</v>
      </c>
      <c r="D25" s="7"/>
    </row>
    <row r="26" customFormat="false" ht="15" hidden="false" customHeight="true" outlineLevel="0" collapsed="false">
      <c r="A26" s="7" t="s">
        <v>40</v>
      </c>
      <c r="B26" s="8" t="n">
        <f aca="false">'Incoming Supply'!B36</f>
        <v>4302.48214285714</v>
      </c>
      <c r="C26" s="7" t="s">
        <v>41</v>
      </c>
      <c r="D26" s="7" t="s">
        <v>42</v>
      </c>
    </row>
    <row r="27" customFormat="false" ht="15" hidden="false" customHeight="true" outlineLevel="0" collapsed="false">
      <c r="A27" s="5" t="s">
        <v>43</v>
      </c>
      <c r="B27" s="6"/>
      <c r="C27" s="6"/>
      <c r="D27" s="6"/>
    </row>
    <row r="28" customFormat="false" ht="15" hidden="false" customHeight="true" outlineLevel="0" collapsed="false">
      <c r="A28" s="7" t="s">
        <v>44</v>
      </c>
      <c r="B28" s="9" t="str">
        <f aca="false">TEXT('Pump Hydraulics'!B27,"0")&amp;" m3/h at "&amp;TEXT('Pump Hydraulics'!B41,"0.0")&amp;" m"</f>
        <v>20 m3/h at 10.2 m</v>
      </c>
      <c r="C28" s="7" t="s">
        <v>45</v>
      </c>
      <c r="D28" s="7" t="s">
        <v>46</v>
      </c>
    </row>
    <row r="29" customFormat="false" ht="15" hidden="false" customHeight="true" outlineLevel="0" collapsed="false">
      <c r="A29" s="7" t="s">
        <v>47</v>
      </c>
      <c r="B29" s="9" t="str">
        <f aca="false">TEXT('Pump Hydraulics'!C27,"0")&amp;" m3/h at "&amp;TEXT('Pump Hydraulics'!C41,"0.0")&amp;" m"</f>
        <v>30 m3/h at 13.3 m</v>
      </c>
      <c r="C29" s="7" t="s">
        <v>45</v>
      </c>
      <c r="D29" s="7" t="s">
        <v>48</v>
      </c>
    </row>
    <row r="30" customFormat="false" ht="15" hidden="false" customHeight="true" outlineLevel="0" collapsed="false">
      <c r="A30" s="7" t="s">
        <v>49</v>
      </c>
      <c r="B30" s="9" t="str">
        <f aca="false">TEXT('Pump Hydraulics'!D27,"0")&amp;" m3/h at "&amp;TEXT('Pump Hydraulics'!D41,"0.0")&amp;" m"</f>
        <v>20 m3/h at 16.8 m</v>
      </c>
      <c r="C30" s="7" t="s">
        <v>45</v>
      </c>
      <c r="D30" s="7" t="s">
        <v>50</v>
      </c>
    </row>
    <row r="31" customFormat="false" ht="15" hidden="false" customHeight="true" outlineLevel="0" collapsed="false">
      <c r="A31" s="7" t="s">
        <v>51</v>
      </c>
      <c r="B31" s="9" t="n">
        <f aca="false">'Energy Consumption'!H22</f>
        <v>52.2950478161725</v>
      </c>
      <c r="C31" s="7" t="s">
        <v>52</v>
      </c>
      <c r="D31" s="7"/>
    </row>
    <row r="32" customFormat="false" ht="15" hidden="false" customHeight="true" outlineLevel="0" collapsed="false">
      <c r="A32" s="7" t="s">
        <v>53</v>
      </c>
      <c r="B32" s="9" t="n">
        <f aca="false">'Energy Consumption'!I22</f>
        <v>1568.85143448517</v>
      </c>
      <c r="C32" s="7" t="s">
        <v>41</v>
      </c>
      <c r="D32" s="7"/>
    </row>
    <row r="33" customFormat="false" ht="15" hidden="false" customHeight="true" outlineLevel="0" collapsed="false">
      <c r="A33" s="7" t="s">
        <v>54</v>
      </c>
      <c r="B33" s="9" t="n">
        <f aca="false">'Energy Consumption'!J22</f>
        <v>18826.2172138221</v>
      </c>
      <c r="C33" s="7" t="s">
        <v>55</v>
      </c>
      <c r="D33" s="7"/>
    </row>
    <row r="34" customFormat="false" ht="15" hidden="false" customHeight="true" outlineLevel="0" collapsed="false">
      <c r="A34" s="7" t="s">
        <v>56</v>
      </c>
      <c r="B34" s="9" t="n">
        <f aca="false">'Energy Consumption'!C26</f>
        <v>0.435792065134771</v>
      </c>
      <c r="C34" s="7" t="s">
        <v>57</v>
      </c>
      <c r="D34" s="7"/>
    </row>
    <row r="35" customFormat="false" ht="15" hidden="false" customHeight="true" outlineLevel="0" collapsed="false">
      <c r="A35" s="7" t="s">
        <v>58</v>
      </c>
      <c r="B35" s="9" t="n">
        <f aca="false">'Energy Consumption'!C27</f>
        <v>5.12366477752433</v>
      </c>
      <c r="C35" s="7" t="s">
        <v>8</v>
      </c>
      <c r="D35" s="7"/>
    </row>
    <row r="36" customFormat="false" ht="15" hidden="false" customHeight="true" outlineLevel="0" collapsed="false">
      <c r="A36" s="7" t="s">
        <v>59</v>
      </c>
      <c r="B36" s="9" t="n">
        <f aca="false">'Energy Consumption'!C30</f>
        <v>952.255323478684</v>
      </c>
      <c r="C36" s="7" t="s">
        <v>60</v>
      </c>
      <c r="D36" s="7" t="s">
        <v>61</v>
      </c>
    </row>
    <row r="37" customFormat="false" ht="15" hidden="false" customHeight="false" outlineLevel="0" collapsed="false">
      <c r="A37" s="10" t="s">
        <v>43</v>
      </c>
      <c r="B37" s="11"/>
      <c r="C37" s="11"/>
      <c r="D37" s="11"/>
    </row>
    <row r="38" customFormat="false" ht="15" hidden="false" customHeight="false" outlineLevel="0" collapsed="false">
      <c r="A38" s="7" t="s">
        <v>44</v>
      </c>
      <c r="B38" s="9" t="str">
        <f aca="false">TEXT('Pump Hydraulics'!B27,"0")&amp;" m3/h at "&amp;TEXT('Pump Hydraulics'!B41,"0.0")&amp;" m"</f>
        <v>20 m3/h at 10.2 m</v>
      </c>
      <c r="C38" s="7" t="s">
        <v>45</v>
      </c>
      <c r="D38" s="7" t="s">
        <v>46</v>
      </c>
    </row>
    <row r="39" customFormat="false" ht="15" hidden="false" customHeight="false" outlineLevel="0" collapsed="false">
      <c r="A39" s="7" t="s">
        <v>47</v>
      </c>
      <c r="B39" s="9" t="str">
        <f aca="false">TEXT('Pump Hydraulics'!C27,"0")&amp;" m3/h at "&amp;TEXT('Pump Hydraulics'!C41,"0.0")&amp;" m"</f>
        <v>30 m3/h at 13.3 m</v>
      </c>
      <c r="C39" s="7" t="s">
        <v>45</v>
      </c>
      <c r="D39" s="7" t="s">
        <v>48</v>
      </c>
    </row>
    <row r="40" customFormat="false" ht="15" hidden="false" customHeight="false" outlineLevel="0" collapsed="false">
      <c r="A40" s="7" t="s">
        <v>49</v>
      </c>
      <c r="B40" s="9" t="str">
        <f aca="false">TEXT('Pump Hydraulics'!D27,"0")&amp;" m3/h at "&amp;TEXT('Pump Hydraulics'!D41,"0.0")&amp;" m"</f>
        <v>20 m3/h at 16.8 m</v>
      </c>
      <c r="C40" s="7" t="s">
        <v>45</v>
      </c>
      <c r="D40" s="7" t="s">
        <v>50</v>
      </c>
    </row>
    <row r="41" customFormat="false" ht="15" hidden="false" customHeight="false" outlineLevel="0" collapsed="false">
      <c r="A41" s="7" t="s">
        <v>51</v>
      </c>
      <c r="B41" s="9" t="n">
        <f aca="false">'Energy Consumption'!H22</f>
        <v>52.2950478161725</v>
      </c>
      <c r="C41" s="7" t="s">
        <v>52</v>
      </c>
      <c r="D41" s="7"/>
    </row>
    <row r="42" customFormat="false" ht="15" hidden="false" customHeight="false" outlineLevel="0" collapsed="false">
      <c r="A42" s="7" t="s">
        <v>53</v>
      </c>
      <c r="B42" s="9" t="n">
        <f aca="false">'Energy Consumption'!I22</f>
        <v>1568.85143448517</v>
      </c>
      <c r="C42" s="7" t="s">
        <v>41</v>
      </c>
      <c r="D42" s="7"/>
    </row>
    <row r="43" customFormat="false" ht="15" hidden="false" customHeight="false" outlineLevel="0" collapsed="false">
      <c r="A43" s="7" t="s">
        <v>54</v>
      </c>
      <c r="B43" s="9" t="n">
        <f aca="false">'Energy Consumption'!J22</f>
        <v>18826.2172138221</v>
      </c>
      <c r="C43" s="7" t="s">
        <v>55</v>
      </c>
      <c r="D43" s="7"/>
    </row>
    <row r="44" customFormat="false" ht="15" hidden="false" customHeight="false" outlineLevel="0" collapsed="false">
      <c r="A44" s="7" t="s">
        <v>56</v>
      </c>
      <c r="B44" s="9" t="n">
        <f aca="false">'Energy Consumption'!C26</f>
        <v>0.435792065134771</v>
      </c>
      <c r="C44" s="7" t="s">
        <v>57</v>
      </c>
      <c r="D44" s="7"/>
    </row>
    <row r="45" customFormat="false" ht="15" hidden="false" customHeight="false" outlineLevel="0" collapsed="false">
      <c r="A45" s="7" t="s">
        <v>58</v>
      </c>
      <c r="B45" s="9" t="n">
        <f aca="false">'Energy Consumption'!C27</f>
        <v>5.12366477752433</v>
      </c>
      <c r="C45" s="7" t="s">
        <v>8</v>
      </c>
      <c r="D45" s="7"/>
    </row>
    <row r="46" customFormat="false" ht="15" hidden="false" customHeight="false" outlineLevel="0" collapsed="false">
      <c r="A46" s="7" t="s">
        <v>59</v>
      </c>
      <c r="B46" s="9" t="n">
        <f aca="false">'Energy Consumption'!C30</f>
        <v>952.255323478684</v>
      </c>
      <c r="C46" s="7" t="s">
        <v>60</v>
      </c>
      <c r="D46" s="7" t="s">
        <v>61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4"/>
    <col collapsed="false" customWidth="true" hidden="false" outlineLevel="0" max="3" min="3" style="1" width="14"/>
    <col collapsed="false" customWidth="true" hidden="false" outlineLevel="0" max="11" min="4" style="1" width="12"/>
    <col collapsed="false" customWidth="true" hidden="false" outlineLevel="0" max="13" min="12" style="1" width="14"/>
    <col collapsed="false" customWidth="true" hidden="false" outlineLevel="0" max="14" min="14" style="1" width="48"/>
  </cols>
  <sheetData>
    <row r="1" customFormat="false" ht="17.25" hidden="false" customHeight="true" outlineLevel="0" collapsed="false">
      <c r="A1" s="2" t="s">
        <v>62</v>
      </c>
    </row>
    <row r="2" customFormat="false" ht="15" hidden="false" customHeight="true" outlineLevel="0" collapsed="false">
      <c r="A2" s="3" t="s">
        <v>63</v>
      </c>
    </row>
    <row r="4" customFormat="false" ht="42" hidden="false" customHeight="true" outlineLevel="0" collapsed="false">
      <c r="A4" s="4" t="s">
        <v>64</v>
      </c>
      <c r="B4" s="4" t="s">
        <v>65</v>
      </c>
      <c r="C4" s="4" t="s">
        <v>66</v>
      </c>
      <c r="D4" s="4" t="s">
        <v>67</v>
      </c>
      <c r="E4" s="4" t="s">
        <v>68</v>
      </c>
      <c r="F4" s="4" t="s">
        <v>69</v>
      </c>
      <c r="G4" s="4" t="s">
        <v>70</v>
      </c>
      <c r="H4" s="4" t="s">
        <v>71</v>
      </c>
      <c r="I4" s="4" t="s">
        <v>72</v>
      </c>
      <c r="J4" s="4" t="s">
        <v>73</v>
      </c>
      <c r="K4" s="4" t="s">
        <v>74</v>
      </c>
      <c r="L4" s="4" t="s">
        <v>75</v>
      </c>
      <c r="M4" s="4" t="s">
        <v>76</v>
      </c>
      <c r="N4" s="4" t="s">
        <v>77</v>
      </c>
    </row>
    <row r="5" customFormat="false" ht="15" hidden="false" customHeight="true" outlineLevel="0" collapsed="false">
      <c r="A5" s="5" t="s">
        <v>78</v>
      </c>
      <c r="B5" s="6"/>
      <c r="C5" s="6"/>
      <c r="D5" s="6"/>
      <c r="E5" s="6"/>
      <c r="F5" s="6"/>
      <c r="G5" s="6"/>
      <c r="H5" s="6"/>
      <c r="I5" s="6"/>
      <c r="J5" s="6"/>
      <c r="K5" s="6"/>
      <c r="L5" s="6"/>
      <c r="M5" s="6"/>
      <c r="N5" s="6"/>
    </row>
    <row r="6" customFormat="false" ht="34.5" hidden="false" customHeight="true" outlineLevel="0" collapsed="false">
      <c r="A6" s="12" t="n">
        <v>1</v>
      </c>
      <c r="B6" s="7" t="s">
        <v>79</v>
      </c>
      <c r="C6" s="7" t="s">
        <v>80</v>
      </c>
      <c r="D6" s="13" t="n">
        <v>1</v>
      </c>
      <c r="E6" s="13" t="n">
        <v>1</v>
      </c>
      <c r="F6" s="14" t="n">
        <f aca="false">D6+E6</f>
        <v>2</v>
      </c>
      <c r="G6" s="15" t="n">
        <f aca="false">'Pump Sizing'!E5</f>
        <v>10</v>
      </c>
      <c r="H6" s="15" t="n">
        <f aca="false">'Pump Sizing'!F5</f>
        <v>30</v>
      </c>
      <c r="I6" s="15" t="n">
        <f aca="false">'Pump Sizing'!L5</f>
        <v>5.5</v>
      </c>
      <c r="J6" s="15" t="n">
        <f aca="false">'Pump Sizing'!K5</f>
        <v>2.2</v>
      </c>
      <c r="K6" s="15" t="n">
        <f aca="false">'Pump Sizing'!M5</f>
        <v>5.5</v>
      </c>
      <c r="L6" s="7" t="s">
        <v>81</v>
      </c>
      <c r="M6" s="16" t="str">
        <f aca="false">'Pump Sizing'!Q5</f>
        <v>Star-Delta</v>
      </c>
      <c r="N6" s="7" t="s">
        <v>82</v>
      </c>
    </row>
    <row r="7" customFormat="false" ht="34.5" hidden="false" customHeight="true" outlineLevel="0" collapsed="false">
      <c r="A7" s="12" t="n">
        <v>2</v>
      </c>
      <c r="B7" s="7" t="s">
        <v>83</v>
      </c>
      <c r="C7" s="7" t="s">
        <v>84</v>
      </c>
      <c r="D7" s="13" t="n">
        <v>1</v>
      </c>
      <c r="E7" s="13" t="n">
        <v>1</v>
      </c>
      <c r="F7" s="14" t="n">
        <f aca="false">D7+E7</f>
        <v>2</v>
      </c>
      <c r="G7" s="15" t="n">
        <f aca="false">'Pump Sizing'!E7</f>
        <v>30</v>
      </c>
      <c r="H7" s="15" t="n">
        <f aca="false">'Pump Sizing'!F7</f>
        <v>30</v>
      </c>
      <c r="I7" s="15" t="n">
        <f aca="false">'Pump Sizing'!L7</f>
        <v>5.5</v>
      </c>
      <c r="J7" s="15" t="n">
        <f aca="false">'Pump Sizing'!K7</f>
        <v>5.5</v>
      </c>
      <c r="K7" s="15" t="n">
        <f aca="false">'Pump Sizing'!M7</f>
        <v>5.5</v>
      </c>
      <c r="L7" s="7" t="s">
        <v>81</v>
      </c>
      <c r="M7" s="16" t="str">
        <f aca="false">'Pump Sizing'!Q7</f>
        <v>Star-Delta</v>
      </c>
      <c r="N7" s="7" t="s">
        <v>85</v>
      </c>
    </row>
    <row r="8" customFormat="false" ht="45.75" hidden="false" customHeight="true" outlineLevel="0" collapsed="false">
      <c r="A8" s="12" t="n">
        <v>3</v>
      </c>
      <c r="B8" s="7" t="s">
        <v>86</v>
      </c>
      <c r="C8" s="7" t="s">
        <v>87</v>
      </c>
      <c r="D8" s="13" t="n">
        <v>1</v>
      </c>
      <c r="E8" s="13" t="n">
        <v>0</v>
      </c>
      <c r="F8" s="14" t="n">
        <f aca="false">D8+E8</f>
        <v>1</v>
      </c>
      <c r="G8" s="15" t="n">
        <f aca="false">'Pump Sizing'!E9</f>
        <v>12</v>
      </c>
      <c r="H8" s="15" t="n">
        <f aca="false">'Pump Sizing'!F9</f>
        <v>30</v>
      </c>
      <c r="I8" s="15" t="n">
        <f aca="false">'Pump Sizing'!L9</f>
        <v>5.5</v>
      </c>
      <c r="J8" s="15" t="n">
        <f aca="false">'Pump Sizing'!K9</f>
        <v>2.2</v>
      </c>
      <c r="K8" s="15" t="n">
        <f aca="false">'Pump Sizing'!M9</f>
        <v>5.5</v>
      </c>
      <c r="L8" s="7" t="s">
        <v>81</v>
      </c>
      <c r="M8" s="16" t="str">
        <f aca="false">'Pump Sizing'!Q9</f>
        <v>Star-Delta</v>
      </c>
      <c r="N8" s="7" t="s">
        <v>88</v>
      </c>
    </row>
    <row r="9" customFormat="false" ht="45.75" hidden="false" customHeight="true" outlineLevel="0" collapsed="false">
      <c r="A9" s="12" t="n">
        <v>4</v>
      </c>
      <c r="B9" s="7" t="s">
        <v>89</v>
      </c>
      <c r="C9" s="7" t="s">
        <v>90</v>
      </c>
      <c r="D9" s="13" t="n">
        <v>0</v>
      </c>
      <c r="E9" s="17" t="n">
        <v>1</v>
      </c>
      <c r="F9" s="14" t="n">
        <f aca="false">D9+E9</f>
        <v>1</v>
      </c>
      <c r="G9" s="15" t="n">
        <f aca="false">'Pump Sizing'!E9</f>
        <v>12</v>
      </c>
      <c r="H9" s="15" t="n">
        <f aca="false">'Pump Sizing'!F9</f>
        <v>30</v>
      </c>
      <c r="I9" s="15" t="n">
        <f aca="false">'Pump Sizing'!L9</f>
        <v>5.5</v>
      </c>
      <c r="J9" s="15" t="n">
        <f aca="false">'Pump Sizing'!K9</f>
        <v>2.2</v>
      </c>
      <c r="K9" s="15" t="n">
        <f aca="false">'Pump Sizing'!M9</f>
        <v>5.5</v>
      </c>
      <c r="L9" s="7" t="s">
        <v>81</v>
      </c>
      <c r="M9" s="16" t="str">
        <f aca="false">'Pump Sizing'!Q9</f>
        <v>Star-Delta</v>
      </c>
      <c r="N9" s="7" t="s">
        <v>91</v>
      </c>
    </row>
    <row r="10" customFormat="false" ht="23.25" hidden="false" customHeight="true" outlineLevel="0" collapsed="false">
      <c r="B10" s="18" t="s">
        <v>92</v>
      </c>
      <c r="D10" s="19" t="n">
        <f aca="false">SUM(D6:D8)</f>
        <v>3</v>
      </c>
      <c r="E10" s="19" t="n">
        <f aca="false">SUM(E6:E8)</f>
        <v>2</v>
      </c>
      <c r="F10" s="19" t="n">
        <f aca="false">SUM(F6:F8)</f>
        <v>5</v>
      </c>
      <c r="K10" s="20" t="n">
        <f aca="false">SUMPRODUCT(F6:F8,K6:K8)</f>
        <v>27.5</v>
      </c>
      <c r="N10" s="21" t="s">
        <v>93</v>
      </c>
    </row>
    <row r="11" customFormat="false" ht="23.25" hidden="false" customHeight="true" outlineLevel="0" collapsed="false">
      <c r="B11" s="18" t="s">
        <v>94</v>
      </c>
      <c r="D11" s="19" t="n">
        <f aca="false">SUM(D6:D9)</f>
        <v>3</v>
      </c>
      <c r="E11" s="19" t="n">
        <f aca="false">SUM(E6:E9)</f>
        <v>3</v>
      </c>
      <c r="F11" s="19" t="n">
        <f aca="false">SUM(F6:F9)</f>
        <v>6</v>
      </c>
      <c r="K11" s="20" t="n">
        <f aca="false">SUMPRODUCT(F6:F9,K6:K9)</f>
        <v>33</v>
      </c>
    </row>
    <row r="13" customFormat="false" ht="15" hidden="false" customHeight="true" outlineLevel="0" collapsed="false">
      <c r="A13" s="5" t="s">
        <v>95</v>
      </c>
      <c r="B13" s="6"/>
      <c r="C13" s="6"/>
      <c r="D13" s="6"/>
      <c r="E13" s="6"/>
      <c r="F13" s="6"/>
      <c r="G13" s="6"/>
      <c r="H13" s="6"/>
      <c r="I13" s="6"/>
      <c r="J13" s="6"/>
      <c r="K13" s="6"/>
      <c r="L13" s="6"/>
      <c r="M13" s="6"/>
      <c r="N13" s="6"/>
    </row>
    <row r="14" customFormat="false" ht="45.75" hidden="false" customHeight="true" outlineLevel="0" collapsed="false">
      <c r="A14" s="12" t="n">
        <v>5</v>
      </c>
      <c r="B14" s="7" t="s">
        <v>96</v>
      </c>
      <c r="C14" s="7" t="s">
        <v>97</v>
      </c>
      <c r="D14" s="13" t="n">
        <v>1</v>
      </c>
      <c r="E14" s="13" t="n">
        <v>0</v>
      </c>
      <c r="F14" s="14" t="n">
        <f aca="false">D14+E14</f>
        <v>1</v>
      </c>
      <c r="G14" s="7" t="s">
        <v>45</v>
      </c>
      <c r="H14" s="7" t="s">
        <v>45</v>
      </c>
      <c r="I14" s="7" t="s">
        <v>45</v>
      </c>
      <c r="J14" s="7" t="s">
        <v>45</v>
      </c>
      <c r="K14" s="22" t="n">
        <f aca="false">'Load Schedule'!F12</f>
        <v>0.12</v>
      </c>
      <c r="L14" s="7" t="s">
        <v>98</v>
      </c>
      <c r="M14" s="7" t="s">
        <v>45</v>
      </c>
      <c r="N14" s="7" t="s">
        <v>99</v>
      </c>
    </row>
    <row r="15" customFormat="false" ht="34.5" hidden="false" customHeight="true" outlineLevel="0" collapsed="false">
      <c r="A15" s="12" t="n">
        <v>6</v>
      </c>
      <c r="B15" s="7" t="s">
        <v>100</v>
      </c>
      <c r="C15" s="7" t="s">
        <v>101</v>
      </c>
      <c r="D15" s="13" t="n">
        <v>1</v>
      </c>
      <c r="E15" s="13" t="n">
        <v>0</v>
      </c>
      <c r="F15" s="14" t="n">
        <f aca="false">D15+E15</f>
        <v>1</v>
      </c>
      <c r="G15" s="7" t="s">
        <v>45</v>
      </c>
      <c r="H15" s="7" t="s">
        <v>45</v>
      </c>
      <c r="I15" s="7" t="s">
        <v>45</v>
      </c>
      <c r="J15" s="7" t="s">
        <v>45</v>
      </c>
      <c r="K15" s="22" t="n">
        <f aca="false">'Load Schedule'!F12</f>
        <v>0.12</v>
      </c>
      <c r="L15" s="7" t="s">
        <v>98</v>
      </c>
      <c r="M15" s="7" t="s">
        <v>45</v>
      </c>
      <c r="N15" s="7" t="s">
        <v>102</v>
      </c>
    </row>
    <row r="16" customFormat="false" ht="45.75" hidden="false" customHeight="true" outlineLevel="0" collapsed="false">
      <c r="A16" s="12" t="n">
        <v>7</v>
      </c>
      <c r="B16" s="7" t="s">
        <v>103</v>
      </c>
      <c r="C16" s="7" t="s">
        <v>104</v>
      </c>
      <c r="D16" s="13" t="n">
        <v>1</v>
      </c>
      <c r="E16" s="13" t="n">
        <v>0</v>
      </c>
      <c r="F16" s="14" t="n">
        <f aca="false">D16+E16</f>
        <v>1</v>
      </c>
      <c r="G16" s="7" t="s">
        <v>45</v>
      </c>
      <c r="H16" s="7" t="s">
        <v>45</v>
      </c>
      <c r="I16" s="7" t="s">
        <v>45</v>
      </c>
      <c r="J16" s="7" t="s">
        <v>45</v>
      </c>
      <c r="K16" s="22" t="n">
        <f aca="false">'Load Schedule'!F12</f>
        <v>0.12</v>
      </c>
      <c r="L16" s="7" t="s">
        <v>98</v>
      </c>
      <c r="M16" s="7" t="s">
        <v>45</v>
      </c>
      <c r="N16" s="7" t="s">
        <v>105</v>
      </c>
    </row>
    <row r="17" customFormat="false" ht="45.75" hidden="false" customHeight="true" outlineLevel="0" collapsed="false">
      <c r="A17" s="12" t="n">
        <v>8</v>
      </c>
      <c r="B17" s="7" t="s">
        <v>106</v>
      </c>
      <c r="C17" s="7" t="s">
        <v>107</v>
      </c>
      <c r="D17" s="13" t="n">
        <v>1</v>
      </c>
      <c r="E17" s="13" t="n">
        <v>0</v>
      </c>
      <c r="F17" s="14" t="n">
        <f aca="false">D17+E17</f>
        <v>1</v>
      </c>
      <c r="G17" s="7" t="s">
        <v>45</v>
      </c>
      <c r="H17" s="7" t="s">
        <v>45</v>
      </c>
      <c r="I17" s="7" t="s">
        <v>45</v>
      </c>
      <c r="J17" s="7" t="s">
        <v>45</v>
      </c>
      <c r="K17" s="22" t="n">
        <f aca="false">'Load Schedule'!F12</f>
        <v>0.12</v>
      </c>
      <c r="L17" s="7" t="s">
        <v>98</v>
      </c>
      <c r="M17" s="7" t="s">
        <v>45</v>
      </c>
      <c r="N17" s="7" t="s">
        <v>108</v>
      </c>
    </row>
    <row r="18" customFormat="false" ht="34.5" hidden="false" customHeight="true" outlineLevel="0" collapsed="false">
      <c r="A18" s="12" t="n">
        <v>9</v>
      </c>
      <c r="B18" s="7" t="s">
        <v>109</v>
      </c>
      <c r="C18" s="7" t="s">
        <v>45</v>
      </c>
      <c r="D18" s="13" t="n">
        <v>0</v>
      </c>
      <c r="E18" s="17" t="n">
        <v>1</v>
      </c>
      <c r="F18" s="14" t="n">
        <f aca="false">D18+E18</f>
        <v>1</v>
      </c>
      <c r="G18" s="7" t="s">
        <v>45</v>
      </c>
      <c r="H18" s="7" t="s">
        <v>45</v>
      </c>
      <c r="I18" s="7" t="s">
        <v>45</v>
      </c>
      <c r="J18" s="7" t="s">
        <v>45</v>
      </c>
      <c r="K18" s="22" t="n">
        <f aca="false">'Load Schedule'!F12</f>
        <v>0.12</v>
      </c>
      <c r="L18" s="7" t="s">
        <v>98</v>
      </c>
      <c r="M18" s="7" t="s">
        <v>45</v>
      </c>
      <c r="N18" s="7" t="s">
        <v>110</v>
      </c>
    </row>
    <row r="19" customFormat="false" ht="15" hidden="false" customHeight="true" outlineLevel="0" collapsed="false">
      <c r="B19" s="18" t="s">
        <v>111</v>
      </c>
      <c r="D19" s="19" t="n">
        <f aca="false">SUM(D14:D18)</f>
        <v>4</v>
      </c>
      <c r="E19" s="19" t="n">
        <f aca="false">SUM(E14:E18)</f>
        <v>1</v>
      </c>
      <c r="F19" s="19" t="n">
        <f aca="false">SUM(F14:F18)</f>
        <v>5</v>
      </c>
    </row>
    <row r="21" customFormat="false" ht="15" hidden="false" customHeight="true" outlineLevel="0" collapsed="false">
      <c r="A21" s="5" t="s">
        <v>112</v>
      </c>
      <c r="B21" s="6"/>
      <c r="C21" s="6"/>
      <c r="D21" s="6"/>
      <c r="E21" s="6"/>
      <c r="F21" s="6"/>
      <c r="G21" s="6"/>
      <c r="H21" s="6"/>
      <c r="I21" s="6"/>
      <c r="J21" s="6"/>
      <c r="K21" s="6"/>
      <c r="L21" s="6"/>
      <c r="M21" s="6"/>
      <c r="N21" s="6"/>
    </row>
    <row r="22" customFormat="false" ht="23.25" hidden="false" customHeight="true" outlineLevel="0" collapsed="false">
      <c r="B22" s="18" t="s">
        <v>113</v>
      </c>
      <c r="F22" s="23" t="n">
        <f aca="false">F10+SUM(F14:F17)</f>
        <v>9</v>
      </c>
      <c r="N22" s="21" t="s">
        <v>114</v>
      </c>
    </row>
    <row r="23" customFormat="false" ht="23.25" hidden="false" customHeight="true" outlineLevel="0" collapsed="false">
      <c r="B23" s="18" t="s">
        <v>115</v>
      </c>
      <c r="F23" s="23" t="n">
        <f aca="false">F11+F19</f>
        <v>11</v>
      </c>
      <c r="N23" s="21" t="s">
        <v>116</v>
      </c>
    </row>
    <row r="24" customFormat="false" ht="23.25" hidden="false" customHeight="true" outlineLevel="0" collapsed="false">
      <c r="B24" s="18" t="s">
        <v>117</v>
      </c>
      <c r="K24" s="20" t="n">
        <f aca="false">K10</f>
        <v>27.5</v>
      </c>
    </row>
    <row r="26" customFormat="false" ht="15" hidden="false" customHeight="true" outlineLevel="0" collapsed="false">
      <c r="A26" s="24" t="s">
        <v>118</v>
      </c>
    </row>
    <row r="27" customFormat="false" ht="15" hidden="false" customHeight="true" outlineLevel="0" collapsed="false">
      <c r="A27" s="25" t="s">
        <v>119</v>
      </c>
    </row>
    <row r="28" customFormat="false" ht="15" hidden="false" customHeight="true" outlineLevel="0" collapsed="false">
      <c r="A28" s="25" t="s">
        <v>120</v>
      </c>
    </row>
    <row r="29" customFormat="false" ht="15" hidden="false" customHeight="true" outlineLevel="0" collapsed="false">
      <c r="A29" s="25" t="s">
        <v>121</v>
      </c>
    </row>
    <row r="30" customFormat="false" ht="15" hidden="false" customHeight="true" outlineLevel="0" collapsed="false">
      <c r="A30" s="25" t="s">
        <v>122</v>
      </c>
    </row>
    <row r="31" customFormat="false" ht="15" hidden="false" customHeight="true" outlineLevel="0" collapsed="false">
      <c r="A31" s="25" t="s">
        <v>123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2"/>
    <col collapsed="false" customWidth="true" hidden="false" outlineLevel="0" max="3" min="3" style="1" width="10"/>
    <col collapsed="false" customWidth="true" hidden="false" outlineLevel="0" max="4" min="4" style="1" width="60"/>
    <col collapsed="false" customWidth="true" hidden="false" outlineLevel="0" max="5" min="5" style="1" width="3"/>
    <col collapsed="false" customWidth="true" hidden="false" outlineLevel="0" max="6" min="6" style="1" width="18"/>
    <col collapsed="false" customWidth="true" hidden="false" outlineLevel="0" max="7" min="7" style="1" width="3"/>
    <col collapsed="false" customWidth="true" hidden="false" outlineLevel="0" max="8" min="8" style="1" width="18"/>
    <col collapsed="false" customWidth="true" hidden="false" outlineLevel="0" max="9" min="9" style="1" width="3"/>
    <col collapsed="false" customWidth="true" hidden="false" outlineLevel="0" max="10" min="10" style="1" width="14"/>
    <col collapsed="false" customWidth="true" hidden="false" outlineLevel="0" max="11" min="11" style="1" width="18"/>
    <col collapsed="false" customWidth="true" hidden="false" outlineLevel="0" max="12" min="12" style="1" width="14"/>
  </cols>
  <sheetData>
    <row r="1" customFormat="false" ht="17.25" hidden="false" customHeight="true" outlineLevel="0" collapsed="false">
      <c r="A1" s="2" t="s">
        <v>124</v>
      </c>
    </row>
    <row r="2" customFormat="false" ht="15" hidden="false" customHeight="true" outlineLevel="0" collapsed="false">
      <c r="A2" s="3" t="s">
        <v>125</v>
      </c>
    </row>
    <row r="4" customFormat="false" ht="42" hidden="false" customHeight="true" outlineLevel="0" collapsed="false">
      <c r="A4" s="4" t="s">
        <v>126</v>
      </c>
      <c r="B4" s="4" t="s">
        <v>3</v>
      </c>
      <c r="C4" s="4" t="s">
        <v>4</v>
      </c>
      <c r="D4" s="4" t="s">
        <v>127</v>
      </c>
      <c r="F4" s="4" t="s">
        <v>128</v>
      </c>
      <c r="H4" s="4" t="s">
        <v>129</v>
      </c>
      <c r="J4" s="4" t="s">
        <v>130</v>
      </c>
      <c r="K4" s="4" t="s">
        <v>131</v>
      </c>
      <c r="L4" s="4" t="s">
        <v>132</v>
      </c>
    </row>
    <row r="5" customFormat="false" ht="15" hidden="false" customHeight="true" outlineLevel="0" collapsed="false">
      <c r="A5" s="5" t="s">
        <v>133</v>
      </c>
      <c r="B5" s="6"/>
      <c r="C5" s="6"/>
      <c r="D5" s="6"/>
      <c r="F5" s="13" t="n">
        <v>0.37</v>
      </c>
      <c r="H5" s="13" t="n">
        <v>6</v>
      </c>
      <c r="J5" s="13" t="n">
        <v>1.5</v>
      </c>
      <c r="K5" s="13" t="n">
        <v>22</v>
      </c>
      <c r="L5" s="13" t="n">
        <v>29</v>
      </c>
    </row>
    <row r="6" customFormat="false" ht="23.25" hidden="false" customHeight="true" outlineLevel="0" collapsed="false">
      <c r="A6" s="7" t="s">
        <v>134</v>
      </c>
      <c r="B6" s="13" t="n">
        <v>415</v>
      </c>
      <c r="C6" s="7" t="s">
        <v>135</v>
      </c>
      <c r="D6" s="7" t="s">
        <v>136</v>
      </c>
      <c r="F6" s="13" t="n">
        <v>0.55</v>
      </c>
      <c r="H6" s="13" t="n">
        <v>10</v>
      </c>
      <c r="J6" s="13" t="n">
        <v>2.5</v>
      </c>
      <c r="K6" s="13" t="n">
        <v>30</v>
      </c>
      <c r="L6" s="13" t="n">
        <v>18</v>
      </c>
    </row>
    <row r="7" customFormat="false" ht="15" hidden="false" customHeight="true" outlineLevel="0" collapsed="false">
      <c r="A7" s="7" t="s">
        <v>137</v>
      </c>
      <c r="B7" s="13" t="n">
        <v>50</v>
      </c>
      <c r="C7" s="7" t="s">
        <v>138</v>
      </c>
      <c r="D7" s="7" t="s">
        <v>139</v>
      </c>
      <c r="F7" s="13" t="n">
        <v>0.75</v>
      </c>
      <c r="H7" s="13" t="n">
        <v>16</v>
      </c>
      <c r="J7" s="13" t="n">
        <v>4</v>
      </c>
      <c r="K7" s="13" t="n">
        <v>40</v>
      </c>
      <c r="L7" s="13" t="n">
        <v>11</v>
      </c>
    </row>
    <row r="8" customFormat="false" ht="15" hidden="false" customHeight="true" outlineLevel="0" collapsed="false">
      <c r="A8" s="7" t="s">
        <v>140</v>
      </c>
      <c r="B8" s="12" t="n">
        <f aca="false">ROUND(B6/SQRT(3),0)</f>
        <v>240</v>
      </c>
      <c r="C8" s="7" t="s">
        <v>135</v>
      </c>
      <c r="D8" s="7" t="s">
        <v>141</v>
      </c>
      <c r="F8" s="13" t="n">
        <v>1.1</v>
      </c>
      <c r="H8" s="13" t="n">
        <v>20</v>
      </c>
      <c r="J8" s="13" t="n">
        <v>6</v>
      </c>
      <c r="K8" s="13" t="n">
        <v>52</v>
      </c>
      <c r="L8" s="13" t="n">
        <v>7.3</v>
      </c>
    </row>
    <row r="9" customFormat="false" ht="23.25" hidden="false" customHeight="true" outlineLevel="0" collapsed="false">
      <c r="A9" s="7" t="s">
        <v>142</v>
      </c>
      <c r="B9" s="26" t="n">
        <v>0.85</v>
      </c>
      <c r="C9" s="7" t="s">
        <v>45</v>
      </c>
      <c r="D9" s="7" t="s">
        <v>143</v>
      </c>
      <c r="F9" s="13" t="n">
        <v>1.5</v>
      </c>
      <c r="H9" s="13" t="n">
        <v>25</v>
      </c>
      <c r="J9" s="13" t="n">
        <v>10</v>
      </c>
      <c r="K9" s="13" t="n">
        <v>71</v>
      </c>
      <c r="L9" s="13" t="n">
        <v>4.4</v>
      </c>
    </row>
    <row r="10" customFormat="false" ht="15" hidden="false" customHeight="true" outlineLevel="0" collapsed="false">
      <c r="A10" s="7" t="s">
        <v>144</v>
      </c>
      <c r="B10" s="26" t="n">
        <v>0.9</v>
      </c>
      <c r="C10" s="7" t="s">
        <v>45</v>
      </c>
      <c r="D10" s="7" t="s">
        <v>145</v>
      </c>
      <c r="F10" s="13" t="n">
        <v>2.2</v>
      </c>
      <c r="H10" s="13" t="n">
        <v>32</v>
      </c>
      <c r="J10" s="13" t="n">
        <v>16</v>
      </c>
      <c r="K10" s="13" t="n">
        <v>94</v>
      </c>
      <c r="L10" s="13" t="n">
        <v>2.8</v>
      </c>
    </row>
    <row r="11" customFormat="false" ht="15" hidden="false" customHeight="true" outlineLevel="0" collapsed="false">
      <c r="A11" s="7" t="s">
        <v>146</v>
      </c>
      <c r="B11" s="27" t="n">
        <v>0.896</v>
      </c>
      <c r="C11" s="7" t="s">
        <v>45</v>
      </c>
      <c r="D11" s="7" t="s">
        <v>147</v>
      </c>
      <c r="F11" s="13" t="n">
        <v>3</v>
      </c>
      <c r="H11" s="13" t="n">
        <v>40</v>
      </c>
      <c r="J11" s="13" t="n">
        <v>25</v>
      </c>
      <c r="K11" s="13" t="n">
        <v>124</v>
      </c>
      <c r="L11" s="13" t="n">
        <v>1.75</v>
      </c>
    </row>
    <row r="12" customFormat="false" ht="23.25" hidden="false" customHeight="true" outlineLevel="0" collapsed="false">
      <c r="A12" s="7" t="s">
        <v>148</v>
      </c>
      <c r="B12" s="26" t="n">
        <v>0.65</v>
      </c>
      <c r="C12" s="7" t="s">
        <v>45</v>
      </c>
      <c r="D12" s="7" t="s">
        <v>149</v>
      </c>
      <c r="F12" s="13" t="n">
        <v>4</v>
      </c>
      <c r="H12" s="13" t="n">
        <v>50</v>
      </c>
      <c r="J12" s="13" t="n">
        <v>35</v>
      </c>
      <c r="K12" s="13" t="n">
        <v>153</v>
      </c>
      <c r="L12" s="13" t="n">
        <v>1.25</v>
      </c>
    </row>
    <row r="13" customFormat="false" ht="23.25" hidden="false" customHeight="true" outlineLevel="0" collapsed="false">
      <c r="A13" s="7" t="s">
        <v>150</v>
      </c>
      <c r="B13" s="17" t="n">
        <v>1.2</v>
      </c>
      <c r="C13" s="7" t="s">
        <v>45</v>
      </c>
      <c r="D13" s="7" t="s">
        <v>151</v>
      </c>
      <c r="F13" s="13" t="n">
        <v>5.5</v>
      </c>
      <c r="H13" s="13" t="n">
        <v>63</v>
      </c>
      <c r="J13" s="13" t="n">
        <v>50</v>
      </c>
      <c r="K13" s="13" t="n">
        <v>185</v>
      </c>
      <c r="L13" s="13" t="n">
        <v>0.93</v>
      </c>
    </row>
    <row r="14" customFormat="false" ht="15" hidden="false" customHeight="true" outlineLevel="0" collapsed="false">
      <c r="A14" s="7" t="s">
        <v>152</v>
      </c>
      <c r="B14" s="13" t="n">
        <v>1000</v>
      </c>
      <c r="C14" s="7" t="s">
        <v>153</v>
      </c>
      <c r="D14" s="7" t="s">
        <v>154</v>
      </c>
      <c r="F14" s="13" t="n">
        <v>7.5</v>
      </c>
      <c r="H14" s="13" t="n">
        <v>80</v>
      </c>
      <c r="J14" s="13" t="n">
        <v>70</v>
      </c>
      <c r="K14" s="13" t="n">
        <v>236</v>
      </c>
      <c r="L14" s="13" t="n">
        <v>0.63</v>
      </c>
    </row>
    <row r="15" customFormat="false" ht="15" hidden="false" customHeight="true" outlineLevel="0" collapsed="false">
      <c r="A15" s="7" t="s">
        <v>155</v>
      </c>
      <c r="B15" s="13" t="n">
        <v>9.81</v>
      </c>
      <c r="C15" s="7" t="s">
        <v>156</v>
      </c>
      <c r="D15" s="7"/>
      <c r="F15" s="13" t="n">
        <v>11</v>
      </c>
      <c r="H15" s="13" t="n">
        <v>100</v>
      </c>
      <c r="J15" s="13" t="n">
        <v>95</v>
      </c>
      <c r="K15" s="13" t="n">
        <v>288</v>
      </c>
      <c r="L15" s="13" t="n">
        <v>0.46</v>
      </c>
    </row>
    <row r="16" customFormat="false" ht="15" hidden="false" customHeight="true" outlineLevel="0" collapsed="false">
      <c r="A16" s="5" t="s">
        <v>157</v>
      </c>
      <c r="B16" s="6"/>
      <c r="C16" s="6"/>
      <c r="D16" s="6"/>
      <c r="F16" s="13" t="n">
        <v>15</v>
      </c>
      <c r="H16" s="13" t="n">
        <v>125</v>
      </c>
      <c r="J16" s="13" t="n">
        <v>120</v>
      </c>
      <c r="K16" s="13" t="n">
        <v>335</v>
      </c>
      <c r="L16" s="13" t="n">
        <v>0.38</v>
      </c>
    </row>
    <row r="17" customFormat="false" ht="34.5" hidden="false" customHeight="true" outlineLevel="0" collapsed="false">
      <c r="A17" s="7" t="s">
        <v>158</v>
      </c>
      <c r="B17" s="17" t="n">
        <v>2</v>
      </c>
      <c r="C17" s="7" t="s">
        <v>45</v>
      </c>
      <c r="D17" s="7" t="s">
        <v>159</v>
      </c>
      <c r="F17" s="13" t="n">
        <v>18.5</v>
      </c>
      <c r="H17" s="13" t="n">
        <v>160</v>
      </c>
      <c r="J17" s="13" t="n">
        <v>150</v>
      </c>
      <c r="K17" s="13" t="n">
        <v>385</v>
      </c>
      <c r="L17" s="13" t="n">
        <v>0.31</v>
      </c>
    </row>
    <row r="18" customFormat="false" ht="15" hidden="false" customHeight="true" outlineLevel="0" collapsed="false">
      <c r="A18" s="7" t="s">
        <v>160</v>
      </c>
      <c r="B18" s="13" t="n">
        <v>1.25</v>
      </c>
      <c r="C18" s="7" t="s">
        <v>45</v>
      </c>
      <c r="D18" s="7" t="s">
        <v>161</v>
      </c>
      <c r="F18" s="13" t="n">
        <v>22</v>
      </c>
      <c r="H18" s="13" t="n">
        <v>200</v>
      </c>
      <c r="J18" s="13" t="n">
        <v>185</v>
      </c>
      <c r="K18" s="13" t="n">
        <v>440</v>
      </c>
      <c r="L18" s="13" t="n">
        <v>0.25</v>
      </c>
    </row>
    <row r="19" customFormat="false" ht="23.25" hidden="false" customHeight="true" outlineLevel="0" collapsed="false">
      <c r="A19" s="7" t="s">
        <v>162</v>
      </c>
      <c r="B19" s="26" t="n">
        <v>0.87</v>
      </c>
      <c r="C19" s="7" t="s">
        <v>45</v>
      </c>
      <c r="D19" s="7" t="s">
        <v>163</v>
      </c>
      <c r="F19" s="13" t="n">
        <v>30</v>
      </c>
      <c r="H19" s="13" t="n">
        <v>225</v>
      </c>
      <c r="J19" s="13" t="n">
        <v>240</v>
      </c>
      <c r="K19" s="13" t="n">
        <v>515</v>
      </c>
      <c r="L19" s="13" t="n">
        <v>0.19</v>
      </c>
    </row>
    <row r="20" customFormat="false" ht="15" hidden="false" customHeight="true" outlineLevel="0" collapsed="false">
      <c r="A20" s="7" t="s">
        <v>164</v>
      </c>
      <c r="B20" s="28" t="n">
        <v>0.04</v>
      </c>
      <c r="C20" s="7" t="s">
        <v>165</v>
      </c>
      <c r="D20" s="7" t="s">
        <v>166</v>
      </c>
      <c r="H20" s="13" t="n">
        <v>250</v>
      </c>
    </row>
    <row r="21" customFormat="false" ht="15" hidden="false" customHeight="true" outlineLevel="0" collapsed="false">
      <c r="A21" s="7" t="s">
        <v>167</v>
      </c>
      <c r="B21" s="28" t="n">
        <v>0.03</v>
      </c>
      <c r="C21" s="7" t="s">
        <v>165</v>
      </c>
      <c r="D21" s="7" t="s">
        <v>168</v>
      </c>
      <c r="H21" s="13" t="n">
        <v>320</v>
      </c>
      <c r="J21" s="29" t="s">
        <v>169</v>
      </c>
      <c r="K21" s="29"/>
      <c r="L21" s="29"/>
    </row>
    <row r="22" customFormat="false" ht="15" hidden="false" customHeight="true" outlineLevel="0" collapsed="false">
      <c r="A22" s="7" t="s">
        <v>170</v>
      </c>
      <c r="B22" s="26" t="n">
        <v>0.8</v>
      </c>
      <c r="C22" s="7" t="s">
        <v>45</v>
      </c>
      <c r="D22" s="7" t="s">
        <v>171</v>
      </c>
      <c r="H22" s="13" t="n">
        <v>400</v>
      </c>
      <c r="J22" s="29"/>
      <c r="K22" s="29"/>
      <c r="L22" s="29"/>
    </row>
    <row r="23" customFormat="false" ht="23.25" hidden="false" customHeight="true" outlineLevel="0" collapsed="false">
      <c r="A23" s="7" t="s">
        <v>172</v>
      </c>
      <c r="B23" s="26" t="n">
        <v>0.25</v>
      </c>
      <c r="C23" s="7" t="s">
        <v>45</v>
      </c>
      <c r="D23" s="7" t="s">
        <v>173</v>
      </c>
      <c r="J23" s="29"/>
      <c r="K23" s="29"/>
      <c r="L23" s="29"/>
    </row>
    <row r="24" customFormat="false" ht="15" hidden="false" customHeight="true" outlineLevel="0" collapsed="false">
      <c r="A24" s="7" t="s">
        <v>174</v>
      </c>
      <c r="B24" s="13" t="n">
        <v>6</v>
      </c>
      <c r="C24" s="7" t="s">
        <v>45</v>
      </c>
      <c r="D24" s="7" t="s">
        <v>175</v>
      </c>
      <c r="J24" s="29"/>
      <c r="K24" s="29"/>
      <c r="L24" s="29"/>
    </row>
    <row r="25" customFormat="false" ht="15" hidden="false" customHeight="true" outlineLevel="0" collapsed="false">
      <c r="A25" s="7" t="s">
        <v>176</v>
      </c>
      <c r="B25" s="13" t="n">
        <v>2</v>
      </c>
      <c r="C25" s="7" t="s">
        <v>45</v>
      </c>
      <c r="D25" s="7" t="s">
        <v>177</v>
      </c>
    </row>
    <row r="26" customFormat="false" ht="23.25" hidden="false" customHeight="true" outlineLevel="0" collapsed="false">
      <c r="A26" s="7" t="s">
        <v>178</v>
      </c>
      <c r="B26" s="13" t="n">
        <v>4</v>
      </c>
      <c r="C26" s="7" t="s">
        <v>8</v>
      </c>
      <c r="D26" s="7" t="s">
        <v>179</v>
      </c>
    </row>
    <row r="27" customFormat="false" ht="23.25" hidden="false" customHeight="true" outlineLevel="0" collapsed="false">
      <c r="A27" s="7" t="s">
        <v>180</v>
      </c>
      <c r="B27" s="30" t="s">
        <v>181</v>
      </c>
      <c r="C27" s="7" t="s">
        <v>45</v>
      </c>
      <c r="D27" s="7" t="s">
        <v>182</v>
      </c>
    </row>
    <row r="28" customFormat="false" ht="15" hidden="false" customHeight="true" outlineLevel="0" collapsed="false">
      <c r="A28" s="5" t="s">
        <v>183</v>
      </c>
      <c r="B28" s="6"/>
      <c r="C28" s="6"/>
      <c r="D28" s="6"/>
    </row>
    <row r="29" customFormat="false" ht="15" hidden="false" customHeight="true" outlineLevel="0" collapsed="false">
      <c r="A29" s="7" t="s">
        <v>184</v>
      </c>
      <c r="B29" s="13" t="n">
        <v>6</v>
      </c>
      <c r="C29" s="7" t="s">
        <v>185</v>
      </c>
      <c r="D29" s="7" t="s">
        <v>186</v>
      </c>
    </row>
    <row r="30" customFormat="false" ht="15" hidden="false" customHeight="true" outlineLevel="0" collapsed="false">
      <c r="A30" s="7" t="s">
        <v>187</v>
      </c>
      <c r="B30" s="17" t="n">
        <v>30</v>
      </c>
      <c r="C30" s="7" t="s">
        <v>188</v>
      </c>
      <c r="D30" s="7" t="s">
        <v>171</v>
      </c>
    </row>
    <row r="31" customFormat="false" ht="15" hidden="false" customHeight="true" outlineLevel="0" collapsed="false">
      <c r="A31" s="7" t="s">
        <v>189</v>
      </c>
      <c r="B31" s="26" t="n">
        <v>0.509</v>
      </c>
      <c r="C31" s="7" t="s">
        <v>190</v>
      </c>
      <c r="D31" s="7" t="s">
        <v>191</v>
      </c>
    </row>
  </sheetData>
  <mergeCells count="1">
    <mergeCell ref="J21:L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14"/>
    <col collapsed="false" customWidth="true" hidden="false" outlineLevel="0" max="5" min="5" style="0" width="10"/>
    <col collapsed="false" customWidth="true" hidden="false" outlineLevel="0" max="6" min="6" style="0" width="60"/>
  </cols>
  <sheetData>
    <row r="1" customFormat="false" ht="17.35" hidden="false" customHeight="false" outlineLevel="0" collapsed="false">
      <c r="A1" s="31" t="s">
        <v>192</v>
      </c>
    </row>
    <row r="2" customFormat="false" ht="15" hidden="false" customHeight="false" outlineLevel="0" collapsed="false">
      <c r="A2" s="32" t="s">
        <v>193</v>
      </c>
    </row>
    <row r="4" customFormat="false" ht="15" hidden="false" customHeight="false" outlineLevel="0" collapsed="false">
      <c r="A4" s="10" t="s">
        <v>194</v>
      </c>
      <c r="B4" s="11"/>
      <c r="C4" s="11"/>
      <c r="D4" s="11"/>
      <c r="E4" s="11"/>
      <c r="F4" s="11"/>
    </row>
    <row r="5" customFormat="false" ht="45" hidden="false" customHeight="true" outlineLevel="0" collapsed="false">
      <c r="A5" s="4" t="s">
        <v>126</v>
      </c>
      <c r="B5" s="4" t="s">
        <v>3</v>
      </c>
      <c r="C5" s="4" t="s">
        <v>4</v>
      </c>
      <c r="D5" s="4"/>
      <c r="E5" s="4"/>
      <c r="F5" s="4" t="s">
        <v>195</v>
      </c>
    </row>
    <row r="6" customFormat="false" ht="15" hidden="false" customHeight="false" outlineLevel="0" collapsed="false">
      <c r="A6" s="7" t="s">
        <v>196</v>
      </c>
      <c r="B6" s="13" t="n">
        <v>20</v>
      </c>
      <c r="C6" s="7" t="s">
        <v>197</v>
      </c>
      <c r="D6" s="7"/>
      <c r="E6" s="7"/>
      <c r="F6" s="7" t="s">
        <v>186</v>
      </c>
    </row>
    <row r="7" customFormat="false" ht="15" hidden="false" customHeight="false" outlineLevel="0" collapsed="false">
      <c r="A7" s="7" t="s">
        <v>198</v>
      </c>
      <c r="B7" s="13" t="n">
        <v>140</v>
      </c>
      <c r="C7" s="7" t="s">
        <v>45</v>
      </c>
      <c r="D7" s="7"/>
      <c r="E7" s="7"/>
      <c r="F7" s="7" t="s">
        <v>199</v>
      </c>
    </row>
    <row r="8" customFormat="false" ht="23.85" hidden="false" customHeight="false" outlineLevel="0" collapsed="false">
      <c r="A8" s="7" t="s">
        <v>200</v>
      </c>
      <c r="B8" s="33" t="n">
        <v>0.3</v>
      </c>
      <c r="C8" s="7" t="s">
        <v>45</v>
      </c>
      <c r="D8" s="7"/>
      <c r="E8" s="7"/>
      <c r="F8" s="7" t="s">
        <v>201</v>
      </c>
    </row>
    <row r="9" customFormat="false" ht="15" hidden="false" customHeight="false" outlineLevel="0" collapsed="false">
      <c r="A9" s="7" t="s">
        <v>202</v>
      </c>
      <c r="B9" s="33" t="n">
        <v>0.1</v>
      </c>
      <c r="C9" s="7" t="s">
        <v>45</v>
      </c>
      <c r="D9" s="7"/>
      <c r="E9" s="7"/>
      <c r="F9" s="7" t="s">
        <v>203</v>
      </c>
    </row>
    <row r="10" customFormat="false" ht="15" hidden="false" customHeight="false" outlineLevel="0" collapsed="false">
      <c r="A10" s="7" t="s">
        <v>204</v>
      </c>
      <c r="B10" s="34" t="n">
        <v>10.3</v>
      </c>
      <c r="C10" s="7" t="s">
        <v>205</v>
      </c>
      <c r="D10" s="7"/>
      <c r="E10" s="7"/>
      <c r="F10" s="7" t="s">
        <v>206</v>
      </c>
    </row>
    <row r="11" customFormat="false" ht="15" hidden="false" customHeight="false" outlineLevel="0" collapsed="false">
      <c r="A11" s="7" t="s">
        <v>207</v>
      </c>
      <c r="B11" s="34" t="n">
        <v>0.43</v>
      </c>
      <c r="C11" s="7" t="s">
        <v>205</v>
      </c>
      <c r="D11" s="7"/>
      <c r="E11" s="7"/>
      <c r="F11" s="7" t="s">
        <v>208</v>
      </c>
    </row>
    <row r="12" customFormat="false" ht="15" hidden="false" customHeight="false" outlineLevel="0" collapsed="false">
      <c r="A12" s="7" t="s">
        <v>209</v>
      </c>
      <c r="B12" s="33" t="n">
        <v>3</v>
      </c>
      <c r="C12" s="7" t="s">
        <v>205</v>
      </c>
      <c r="D12" s="7"/>
      <c r="E12" s="7"/>
      <c r="F12" s="7" t="s">
        <v>210</v>
      </c>
    </row>
    <row r="13" customFormat="false" ht="15" hidden="false" customHeight="false" outlineLevel="0" collapsed="false">
      <c r="A13" s="7" t="s">
        <v>211</v>
      </c>
      <c r="B13" s="34" t="n">
        <v>1</v>
      </c>
      <c r="C13" s="7" t="s">
        <v>205</v>
      </c>
      <c r="D13" s="7"/>
      <c r="E13" s="7"/>
      <c r="F13" s="7" t="s">
        <v>212</v>
      </c>
    </row>
    <row r="14" customFormat="false" ht="23.85" hidden="false" customHeight="false" outlineLevel="0" collapsed="false">
      <c r="A14" s="7" t="s">
        <v>213</v>
      </c>
      <c r="B14" s="33" t="n">
        <v>1.2</v>
      </c>
      <c r="C14" s="7" t="s">
        <v>205</v>
      </c>
      <c r="D14" s="7"/>
      <c r="E14" s="7"/>
      <c r="F14" s="7" t="s">
        <v>214</v>
      </c>
    </row>
    <row r="15" customFormat="false" ht="15" hidden="false" customHeight="false" outlineLevel="0" collapsed="false">
      <c r="A15" s="7" t="s">
        <v>215</v>
      </c>
      <c r="B15" s="17" t="n">
        <v>10</v>
      </c>
      <c r="C15" s="7" t="s">
        <v>216</v>
      </c>
      <c r="D15" s="7"/>
      <c r="E15" s="7"/>
      <c r="F15" s="7" t="s">
        <v>217</v>
      </c>
    </row>
    <row r="16" customFormat="false" ht="15" hidden="false" customHeight="false" outlineLevel="0" collapsed="false">
      <c r="A16" s="7" t="s">
        <v>218</v>
      </c>
      <c r="B16" s="17" t="n">
        <v>1</v>
      </c>
      <c r="C16" s="7" t="s">
        <v>219</v>
      </c>
      <c r="D16" s="7"/>
      <c r="E16" s="7"/>
      <c r="F16" s="7" t="s">
        <v>220</v>
      </c>
    </row>
    <row r="18" customFormat="false" ht="15" hidden="false" customHeight="false" outlineLevel="0" collapsed="false">
      <c r="A18" s="10" t="s">
        <v>221</v>
      </c>
      <c r="B18" s="11"/>
      <c r="C18" s="11"/>
      <c r="D18" s="11"/>
      <c r="E18" s="11"/>
      <c r="F18" s="11"/>
    </row>
    <row r="19" customFormat="false" ht="45" hidden="false" customHeight="true" outlineLevel="0" collapsed="false">
      <c r="A19" s="4" t="s">
        <v>222</v>
      </c>
      <c r="B19" s="4" t="s">
        <v>223</v>
      </c>
      <c r="C19" s="4" t="s">
        <v>224</v>
      </c>
      <c r="D19" s="4" t="s">
        <v>225</v>
      </c>
      <c r="E19" s="4"/>
      <c r="F19" s="4" t="s">
        <v>195</v>
      </c>
    </row>
    <row r="20" customFormat="false" ht="23.85" hidden="false" customHeight="false" outlineLevel="0" collapsed="false">
      <c r="A20" s="7" t="s">
        <v>226</v>
      </c>
      <c r="B20" s="13" t="n">
        <v>90</v>
      </c>
      <c r="C20" s="13" t="n">
        <v>90</v>
      </c>
      <c r="D20" s="35" t="n">
        <v>73.6</v>
      </c>
      <c r="E20" s="7"/>
      <c r="F20" s="7" t="s">
        <v>227</v>
      </c>
    </row>
    <row r="21" customFormat="false" ht="15" hidden="false" customHeight="false" outlineLevel="0" collapsed="false">
      <c r="A21" s="7" t="s">
        <v>228</v>
      </c>
      <c r="B21" s="13" t="n">
        <v>100</v>
      </c>
      <c r="C21" s="13" t="n">
        <v>114</v>
      </c>
      <c r="D21" s="35" t="n">
        <v>99.4</v>
      </c>
      <c r="E21" s="7"/>
      <c r="F21" s="7" t="s">
        <v>229</v>
      </c>
    </row>
    <row r="23" customFormat="false" ht="15" hidden="false" customHeight="false" outlineLevel="0" collapsed="false">
      <c r="A23" s="10" t="s">
        <v>230</v>
      </c>
      <c r="B23" s="11"/>
      <c r="C23" s="11"/>
      <c r="D23" s="11"/>
      <c r="E23" s="11"/>
      <c r="F23" s="11"/>
    </row>
    <row r="24" customFormat="false" ht="45" hidden="false" customHeight="true" outlineLevel="0" collapsed="false">
      <c r="A24" s="4" t="s">
        <v>2</v>
      </c>
      <c r="B24" s="4" t="s">
        <v>231</v>
      </c>
      <c r="C24" s="4" t="s">
        <v>232</v>
      </c>
      <c r="D24" s="4" t="s">
        <v>233</v>
      </c>
      <c r="E24" s="4" t="s">
        <v>4</v>
      </c>
      <c r="F24" s="4" t="s">
        <v>234</v>
      </c>
    </row>
    <row r="25" customFormat="false" ht="15" hidden="false" customHeight="false" outlineLevel="0" collapsed="false">
      <c r="A25" s="7" t="s">
        <v>235</v>
      </c>
      <c r="B25" s="15" t="n">
        <f aca="false">'Pump Sizing'!E5</f>
        <v>10</v>
      </c>
      <c r="C25" s="15" t="n">
        <f aca="false">'Pump Sizing'!E7</f>
        <v>30</v>
      </c>
      <c r="D25" s="15" t="n">
        <f aca="false">'Pump Sizing'!E9</f>
        <v>12</v>
      </c>
      <c r="E25" s="7" t="s">
        <v>197</v>
      </c>
      <c r="F25" s="7" t="s">
        <v>236</v>
      </c>
    </row>
    <row r="26" customFormat="false" ht="35.05" hidden="false" customHeight="false" outlineLevel="0" collapsed="false">
      <c r="A26" s="7" t="s">
        <v>237</v>
      </c>
      <c r="B26" s="36" t="n">
        <f aca="false">$B$6</f>
        <v>20</v>
      </c>
      <c r="C26" s="36" t="n">
        <f aca="false">ROUND(PI()/4*$B$14^2*25,1)</f>
        <v>28.3</v>
      </c>
      <c r="D26" s="36" t="n">
        <f aca="false">$B$6</f>
        <v>20</v>
      </c>
      <c r="E26" s="7" t="s">
        <v>197</v>
      </c>
      <c r="F26" s="7" t="s">
        <v>238</v>
      </c>
    </row>
    <row r="27" customFormat="false" ht="23.85" hidden="false" customHeight="false" outlineLevel="0" collapsed="false">
      <c r="A27" s="7" t="s">
        <v>239</v>
      </c>
      <c r="B27" s="36" t="n">
        <f aca="false">MAX(B26,B25)</f>
        <v>20</v>
      </c>
      <c r="C27" s="36" t="n">
        <f aca="false">MAX(C26,C25)</f>
        <v>30</v>
      </c>
      <c r="D27" s="36" t="n">
        <f aca="false">MAX(D26,D25)</f>
        <v>20</v>
      </c>
      <c r="E27" s="7" t="s">
        <v>197</v>
      </c>
      <c r="F27" s="7" t="s">
        <v>240</v>
      </c>
    </row>
    <row r="28" customFormat="false" ht="15" hidden="false" customHeight="false" outlineLevel="0" collapsed="false">
      <c r="A28" s="7" t="s">
        <v>241</v>
      </c>
      <c r="B28" s="37" t="n">
        <f aca="false">B27/3.6</f>
        <v>5.55555555555556</v>
      </c>
      <c r="C28" s="37" t="n">
        <f aca="false">C27/3.6</f>
        <v>8.33333333333333</v>
      </c>
      <c r="D28" s="37" t="n">
        <f aca="false">D27/3.6</f>
        <v>5.55555555555556</v>
      </c>
      <c r="E28" s="7" t="s">
        <v>242</v>
      </c>
      <c r="F28" s="7" t="s">
        <v>243</v>
      </c>
    </row>
    <row r="29" customFormat="false" ht="15" hidden="false" customHeight="false" outlineLevel="0" collapsed="false">
      <c r="A29" s="7" t="s">
        <v>244</v>
      </c>
      <c r="B29" s="38" t="n">
        <f aca="false">B27/3600</f>
        <v>0.00555555555555556</v>
      </c>
      <c r="C29" s="38" t="n">
        <f aca="false">C27/3600</f>
        <v>0.00833333333333333</v>
      </c>
      <c r="D29" s="38" t="n">
        <f aca="false">D27/3600</f>
        <v>0.00555555555555556</v>
      </c>
      <c r="E29" s="7" t="s">
        <v>245</v>
      </c>
      <c r="F29" s="7" t="s">
        <v>246</v>
      </c>
    </row>
    <row r="30" customFormat="false" ht="23.85" hidden="false" customHeight="false" outlineLevel="0" collapsed="false">
      <c r="A30" s="7" t="s">
        <v>247</v>
      </c>
      <c r="B30" s="15" t="n">
        <f aca="false">$D$20</f>
        <v>73.6</v>
      </c>
      <c r="C30" s="15" t="n">
        <f aca="false">$D$21</f>
        <v>99.4</v>
      </c>
      <c r="D30" s="15" t="n">
        <f aca="false">$D$20</f>
        <v>73.6</v>
      </c>
      <c r="E30" s="7" t="s">
        <v>248</v>
      </c>
      <c r="F30" s="7" t="s">
        <v>249</v>
      </c>
    </row>
    <row r="31" customFormat="false" ht="15" hidden="false" customHeight="false" outlineLevel="0" collapsed="false">
      <c r="A31" s="7" t="s">
        <v>250</v>
      </c>
      <c r="B31" s="38" t="n">
        <f aca="false">PI()/4*(B30/1000)^2</f>
        <v>0.00425447043519744</v>
      </c>
      <c r="C31" s="38" t="n">
        <f aca="false">PI()/4*(C30/1000)^2</f>
        <v>0.00776001659770561</v>
      </c>
      <c r="D31" s="38" t="n">
        <f aca="false">PI()/4*(D30/1000)^2</f>
        <v>0.00425447043519744</v>
      </c>
      <c r="E31" s="7" t="s">
        <v>251</v>
      </c>
      <c r="F31" s="7" t="s">
        <v>252</v>
      </c>
    </row>
    <row r="32" customFormat="false" ht="23.85" hidden="false" customHeight="false" outlineLevel="0" collapsed="false">
      <c r="A32" s="7" t="s">
        <v>253</v>
      </c>
      <c r="B32" s="37" t="n">
        <f aca="false">B29/B31</f>
        <v>1.30581599759025</v>
      </c>
      <c r="C32" s="37" t="n">
        <f aca="false">C29/C31</f>
        <v>1.07388086461016</v>
      </c>
      <c r="D32" s="37" t="n">
        <f aca="false">D29/D31</f>
        <v>1.30581599759025</v>
      </c>
      <c r="E32" s="7" t="s">
        <v>254</v>
      </c>
      <c r="F32" s="7" t="s">
        <v>255</v>
      </c>
    </row>
    <row r="33" customFormat="false" ht="15" hidden="false" customHeight="false" outlineLevel="0" collapsed="false">
      <c r="A33" s="39" t="s">
        <v>256</v>
      </c>
      <c r="B33" s="12" t="str">
        <f aca="false">IF(B32&gt;2.5,"TOO HIGH - upsize pipe",IF(B32&lt;0.6,"Low - acceptable","OK"))</f>
        <v>OK</v>
      </c>
      <c r="C33" s="12" t="str">
        <f aca="false">IF(C32&gt;2.5,"TOO HIGH - upsize pipe",IF(C32&lt;0.6,"Low - acceptable","OK"))</f>
        <v>OK</v>
      </c>
      <c r="D33" s="12" t="str">
        <f aca="false">IF(D32&gt;2.5,"TOO HIGH - upsize pipe",IF(D32&lt;0.6,"Low - acceptable","OK"))</f>
        <v>OK</v>
      </c>
      <c r="E33" s="7" t="s">
        <v>45</v>
      </c>
      <c r="F33" s="7" t="s">
        <v>257</v>
      </c>
    </row>
    <row r="34" customFormat="false" ht="23.85" hidden="false" customHeight="false" outlineLevel="0" collapsed="false">
      <c r="A34" s="7" t="s">
        <v>258</v>
      </c>
      <c r="B34" s="40" t="n">
        <v>40</v>
      </c>
      <c r="C34" s="40" t="n">
        <v>35</v>
      </c>
      <c r="D34" s="40" t="n">
        <v>70</v>
      </c>
      <c r="E34" s="7" t="s">
        <v>205</v>
      </c>
      <c r="F34" s="7" t="s">
        <v>259</v>
      </c>
    </row>
    <row r="35" customFormat="false" ht="15" hidden="false" customHeight="false" outlineLevel="0" collapsed="false">
      <c r="A35" s="7" t="s">
        <v>260</v>
      </c>
      <c r="B35" s="37" t="n">
        <f aca="false">10.67*100*B29^1.852/($B$7^1.852*(B30/1000)^4.87)</f>
        <v>2.48356575036503</v>
      </c>
      <c r="C35" s="37" t="n">
        <f aca="false">10.67*100*C29^1.852/($B$7^1.852*(C30/1000)^4.87)</f>
        <v>1.21792329620492</v>
      </c>
      <c r="D35" s="37" t="n">
        <f aca="false">10.67*100*D29^1.852/($B$7^1.852*(D30/1000)^4.87)</f>
        <v>2.48356575036503</v>
      </c>
      <c r="E35" s="7" t="s">
        <v>261</v>
      </c>
      <c r="F35" s="7" t="s">
        <v>262</v>
      </c>
    </row>
    <row r="36" customFormat="false" ht="15" hidden="false" customHeight="false" outlineLevel="0" collapsed="false">
      <c r="A36" s="7" t="s">
        <v>263</v>
      </c>
      <c r="B36" s="37" t="n">
        <f aca="false">B35*B34/100</f>
        <v>0.99342630014601</v>
      </c>
      <c r="C36" s="37" t="n">
        <f aca="false">C35*C34/100</f>
        <v>0.426273153671721</v>
      </c>
      <c r="D36" s="37" t="n">
        <f aca="false">D35*D34/100</f>
        <v>1.73849602525552</v>
      </c>
      <c r="E36" s="7" t="s">
        <v>205</v>
      </c>
      <c r="F36" s="7" t="s">
        <v>264</v>
      </c>
    </row>
    <row r="37" customFormat="false" ht="15" hidden="false" customHeight="false" outlineLevel="0" collapsed="false">
      <c r="A37" s="7" t="s">
        <v>265</v>
      </c>
      <c r="B37" s="37" t="n">
        <f aca="false">B36*$B$8</f>
        <v>0.298027890043803</v>
      </c>
      <c r="C37" s="37" t="n">
        <f aca="false">C36*$B$8</f>
        <v>0.127881946101516</v>
      </c>
      <c r="D37" s="37" t="n">
        <f aca="false">D36*$B$8</f>
        <v>0.521548807576655</v>
      </c>
      <c r="E37" s="7" t="s">
        <v>205</v>
      </c>
      <c r="F37" s="7" t="s">
        <v>266</v>
      </c>
    </row>
    <row r="38" customFormat="false" ht="35.05" hidden="false" customHeight="false" outlineLevel="0" collapsed="false">
      <c r="A38" s="7" t="s">
        <v>267</v>
      </c>
      <c r="B38" s="41" t="n">
        <v>3</v>
      </c>
      <c r="C38" s="41" t="n">
        <v>3.5</v>
      </c>
      <c r="D38" s="41" t="n">
        <v>11</v>
      </c>
      <c r="E38" s="7" t="s">
        <v>205</v>
      </c>
      <c r="F38" s="7" t="s">
        <v>268</v>
      </c>
    </row>
    <row r="39" customFormat="false" ht="46.25" hidden="false" customHeight="false" outlineLevel="0" collapsed="false">
      <c r="A39" s="7" t="s">
        <v>269</v>
      </c>
      <c r="B39" s="41" t="n">
        <v>5</v>
      </c>
      <c r="C39" s="41" t="n">
        <v>8</v>
      </c>
      <c r="D39" s="41" t="n">
        <v>2</v>
      </c>
      <c r="E39" s="7" t="s">
        <v>205</v>
      </c>
      <c r="F39" s="7" t="s">
        <v>270</v>
      </c>
    </row>
    <row r="40" customFormat="false" ht="15" hidden="false" customHeight="false" outlineLevel="0" collapsed="false">
      <c r="A40" s="7" t="s">
        <v>271</v>
      </c>
      <c r="B40" s="37" t="n">
        <f aca="false">B36+B37+B38+B39</f>
        <v>9.29145419018981</v>
      </c>
      <c r="C40" s="37" t="n">
        <f aca="false">C36+C37+C38+C39</f>
        <v>12.0541550997732</v>
      </c>
      <c r="D40" s="37" t="n">
        <f aca="false">D36+D37+D38+D39</f>
        <v>15.2600448328322</v>
      </c>
      <c r="E40" s="7" t="s">
        <v>205</v>
      </c>
      <c r="F40" s="7" t="s">
        <v>272</v>
      </c>
    </row>
    <row r="41" customFormat="false" ht="15" hidden="false" customHeight="false" outlineLevel="0" collapsed="false">
      <c r="A41" s="7" t="s">
        <v>273</v>
      </c>
      <c r="B41" s="37" t="n">
        <f aca="false">B40*(1+$B$9)</f>
        <v>10.2205996092088</v>
      </c>
      <c r="C41" s="37" t="n">
        <f aca="false">C40*(1+$B$9)</f>
        <v>13.2595706097506</v>
      </c>
      <c r="D41" s="37" t="n">
        <f aca="false">D40*(1+$B$9)</f>
        <v>16.7860493161154</v>
      </c>
      <c r="E41" s="7" t="s">
        <v>205</v>
      </c>
      <c r="F41" s="7" t="s">
        <v>274</v>
      </c>
    </row>
    <row r="42" customFormat="false" ht="15" hidden="false" customHeight="false" outlineLevel="0" collapsed="false">
      <c r="A42" s="7" t="s">
        <v>275</v>
      </c>
      <c r="B42" s="15" t="n">
        <f aca="false">'Pump Sizing'!F5</f>
        <v>30</v>
      </c>
      <c r="C42" s="15" t="n">
        <f aca="false">'Pump Sizing'!F7</f>
        <v>30</v>
      </c>
      <c r="D42" s="15" t="n">
        <f aca="false">'Pump Sizing'!F9</f>
        <v>30</v>
      </c>
      <c r="E42" s="7" t="s">
        <v>205</v>
      </c>
      <c r="F42" s="7" t="s">
        <v>276</v>
      </c>
    </row>
    <row r="43" customFormat="false" ht="35.05" hidden="false" customHeight="false" outlineLevel="0" collapsed="false">
      <c r="A43" s="39" t="s">
        <v>277</v>
      </c>
      <c r="B43" s="12" t="str">
        <f aca="false">IF(B42&gt;=B41,"Drawing head adequate ("&amp;TEXT(B42/B41,"0.0")&amp;"x calculated)","DRAWING HEAD TOO LOW - revise")</f>
        <v>Drawing head adequate (2.9x calculated)</v>
      </c>
      <c r="C43" s="12" t="str">
        <f aca="false">IF(C42&gt;=C41,"Drawing head adequate ("&amp;TEXT(C42/C41,"0.0")&amp;"x calculated)","DRAWING HEAD TOO LOW - revise")</f>
        <v>Drawing head adequate (2.3x calculated)</v>
      </c>
      <c r="D43" s="12" t="str">
        <f aca="false">IF(D42&gt;=D41,"Drawing head adequate ("&amp;TEXT(D42/D41,"0.0")&amp;"x calculated)","DRAWING HEAD TOO LOW - revise")</f>
        <v>Drawing head adequate (1.8x calculated)</v>
      </c>
      <c r="E43" s="7" t="s">
        <v>45</v>
      </c>
      <c r="F43" s="7"/>
    </row>
    <row r="44" customFormat="false" ht="15" hidden="false" customHeight="false" outlineLevel="0" collapsed="false">
      <c r="A44" s="7" t="s">
        <v>278</v>
      </c>
      <c r="B44" s="37" t="n">
        <f aca="false">Inputs!$B$14*Inputs!$B$15*B29*B41/1000</f>
        <v>0.557022678701879</v>
      </c>
      <c r="C44" s="37" t="n">
        <f aca="false">Inputs!$B$14*Inputs!$B$15*C29*C41/1000</f>
        <v>1.08396989734711</v>
      </c>
      <c r="D44" s="37" t="n">
        <f aca="false">Inputs!$B$14*Inputs!$B$15*D29*D41/1000</f>
        <v>0.914839687728289</v>
      </c>
      <c r="E44" s="7" t="s">
        <v>8</v>
      </c>
      <c r="F44" s="7" t="s">
        <v>279</v>
      </c>
    </row>
    <row r="45" customFormat="false" ht="15" hidden="false" customHeight="false" outlineLevel="0" collapsed="false">
      <c r="A45" s="7" t="s">
        <v>280</v>
      </c>
      <c r="B45" s="22" t="n">
        <f aca="false">Inputs!$B$12</f>
        <v>0.65</v>
      </c>
      <c r="C45" s="22" t="n">
        <f aca="false">Inputs!$B$12</f>
        <v>0.65</v>
      </c>
      <c r="D45" s="22" t="n">
        <f aca="false">Inputs!$B$12</f>
        <v>0.65</v>
      </c>
      <c r="E45" s="7" t="s">
        <v>45</v>
      </c>
      <c r="F45" s="7" t="s">
        <v>281</v>
      </c>
    </row>
    <row r="46" customFormat="false" ht="15" hidden="false" customHeight="false" outlineLevel="0" collapsed="false">
      <c r="A46" s="7" t="s">
        <v>282</v>
      </c>
      <c r="B46" s="37" t="n">
        <f aca="false">B44/B45</f>
        <v>0.856957967233661</v>
      </c>
      <c r="C46" s="37" t="n">
        <f aca="false">C44/C45</f>
        <v>1.66764599591863</v>
      </c>
      <c r="D46" s="37" t="n">
        <f aca="false">D44/D45</f>
        <v>1.40744567342814</v>
      </c>
      <c r="E46" s="7" t="s">
        <v>8</v>
      </c>
      <c r="F46" s="7" t="s">
        <v>283</v>
      </c>
    </row>
    <row r="47" customFormat="false" ht="15" hidden="false" customHeight="false" outlineLevel="0" collapsed="false">
      <c r="A47" s="7" t="s">
        <v>284</v>
      </c>
      <c r="B47" s="37" t="n">
        <f aca="false">INDEX(Inputs!$F$5:$F$19,COUNTIF(Inputs!$F$5:$F$19,"&lt;"&amp;B46*Inputs!$B$13)+1)</f>
        <v>1.1</v>
      </c>
      <c r="C47" s="37" t="n">
        <f aca="false">INDEX(Inputs!$F$5:$F$19,COUNTIF(Inputs!$F$5:$F$19,"&lt;"&amp;C46*Inputs!$B$13)+1)</f>
        <v>2.2</v>
      </c>
      <c r="D47" s="37" t="n">
        <f aca="false">INDEX(Inputs!$F$5:$F$19,COUNTIF(Inputs!$F$5:$F$19,"&lt;"&amp;D46*Inputs!$B$13)+1)</f>
        <v>2.2</v>
      </c>
      <c r="E47" s="7" t="s">
        <v>8</v>
      </c>
      <c r="F47" s="7" t="s">
        <v>285</v>
      </c>
    </row>
    <row r="48" customFormat="false" ht="23.85" hidden="false" customHeight="false" outlineLevel="0" collapsed="false">
      <c r="A48" s="7" t="s">
        <v>286</v>
      </c>
      <c r="B48" s="37" t="n">
        <f aca="false">INDEX(Inputs!$F$5:$F$19,COUNTIF(Inputs!$F$5:$F$19,"&lt;"&amp;Inputs!$B$14*Inputs!$B$15*B29*B42/1000/B45*Inputs!$B$13)+1)</f>
        <v>4</v>
      </c>
      <c r="C48" s="37" t="n">
        <f aca="false">INDEX(Inputs!$F$5:$F$19,COUNTIF(Inputs!$F$5:$F$19,"&lt;"&amp;Inputs!$B$14*Inputs!$B$15*C29*C42/1000/C45*Inputs!$B$13)+1)</f>
        <v>5.5</v>
      </c>
      <c r="D48" s="37" t="n">
        <f aca="false">INDEX(Inputs!$F$5:$F$19,COUNTIF(Inputs!$F$5:$F$19,"&lt;"&amp;Inputs!$B$14*Inputs!$B$15*D29*D42/1000/D45*Inputs!$B$13)+1)</f>
        <v>4</v>
      </c>
      <c r="E48" s="7" t="s">
        <v>8</v>
      </c>
      <c r="F48" s="7" t="s">
        <v>287</v>
      </c>
    </row>
    <row r="49" customFormat="false" ht="15" hidden="false" customHeight="false" outlineLevel="0" collapsed="false">
      <c r="A49" s="7" t="s">
        <v>288</v>
      </c>
      <c r="B49" s="15" t="n">
        <f aca="false">'Pump Sizing'!L5</f>
        <v>5.5</v>
      </c>
      <c r="C49" s="15" t="n">
        <f aca="false">'Pump Sizing'!L7</f>
        <v>5.5</v>
      </c>
      <c r="D49" s="15" t="n">
        <f aca="false">'Pump Sizing'!L9</f>
        <v>5.5</v>
      </c>
      <c r="E49" s="7" t="s">
        <v>8</v>
      </c>
      <c r="F49" s="7"/>
    </row>
    <row r="50" customFormat="false" ht="23.85" hidden="false" customHeight="false" outlineLevel="0" collapsed="false">
      <c r="A50" s="39" t="s">
        <v>289</v>
      </c>
      <c r="B50" s="12" t="str">
        <f aca="false">IF(B49&gt;=B48,"OK - drawing motor adequate","UNDERSIZED - drawing motor too small for design flow at drawing head")</f>
        <v>OK - drawing motor adequate</v>
      </c>
      <c r="C50" s="12" t="str">
        <f aca="false">IF(C49&gt;=C48,"OK - drawing motor adequate","UNDERSIZED - drawing motor too small for design flow at drawing head")</f>
        <v>OK - drawing motor adequate</v>
      </c>
      <c r="D50" s="12" t="str">
        <f aca="false">IF(D49&gt;=D48,"OK - drawing motor adequate","UNDERSIZED - drawing motor too small for design flow at drawing head")</f>
        <v>OK - drawing motor adequate</v>
      </c>
      <c r="E50" s="7" t="s">
        <v>45</v>
      </c>
      <c r="F50" s="7"/>
    </row>
    <row r="51" customFormat="false" ht="35.05" hidden="false" customHeight="false" outlineLevel="0" collapsed="false">
      <c r="A51" s="7" t="s">
        <v>290</v>
      </c>
      <c r="B51" s="41" t="n">
        <v>0.5</v>
      </c>
      <c r="C51" s="41" t="n">
        <v>0.5</v>
      </c>
      <c r="D51" s="41" t="n">
        <v>0.5</v>
      </c>
      <c r="E51" s="7" t="s">
        <v>205</v>
      </c>
      <c r="F51" s="7" t="s">
        <v>291</v>
      </c>
    </row>
    <row r="52" customFormat="false" ht="15" hidden="false" customHeight="false" outlineLevel="0" collapsed="false">
      <c r="A52" s="7" t="s">
        <v>292</v>
      </c>
      <c r="B52" s="37" t="n">
        <f aca="false">B36*0.25</f>
        <v>0.248356575036503</v>
      </c>
      <c r="C52" s="37" t="n">
        <f aca="false">C36*0.25</f>
        <v>0.10656828841793</v>
      </c>
      <c r="D52" s="37" t="n">
        <f aca="false">D36*0.25</f>
        <v>0.434624006313879</v>
      </c>
      <c r="E52" s="7" t="s">
        <v>205</v>
      </c>
      <c r="F52" s="7" t="s">
        <v>293</v>
      </c>
    </row>
    <row r="53" customFormat="false" ht="15" hidden="false" customHeight="false" outlineLevel="0" collapsed="false">
      <c r="A53" s="7" t="s">
        <v>294</v>
      </c>
      <c r="B53" s="37" t="n">
        <f aca="false">$B$10+B51-B52-$B$11</f>
        <v>10.1216434249635</v>
      </c>
      <c r="C53" s="37" t="n">
        <f aca="false">$B$10+C51-C52-$B$11</f>
        <v>10.2634317115821</v>
      </c>
      <c r="D53" s="37" t="n">
        <f aca="false">$B$10+D51-D52-$B$11</f>
        <v>9.93537599368612</v>
      </c>
      <c r="E53" s="7" t="s">
        <v>205</v>
      </c>
      <c r="F53" s="7" t="s">
        <v>295</v>
      </c>
    </row>
    <row r="54" customFormat="false" ht="23.85" hidden="false" customHeight="false" outlineLevel="0" collapsed="false">
      <c r="A54" s="39" t="s">
        <v>296</v>
      </c>
      <c r="B54" s="12" t="str">
        <f aca="false">IF(B53-$B$12&gt;=$B$13,"OK - margin "&amp;TEXT(B53-$B$12,"0.0")&amp;" m","RISK OF CAVITATION - raise tank or lower pump")</f>
        <v>OK - margin 7.1 m</v>
      </c>
      <c r="C54" s="12" t="str">
        <f aca="false">IF(C53-$B$12&gt;=$B$13,"OK - margin "&amp;TEXT(C53-$B$12,"0.0")&amp;" m","RISK OF CAVITATION - raise tank or lower pump")</f>
        <v>OK - margin 7.3 m</v>
      </c>
      <c r="D54" s="12" t="str">
        <f aca="false">IF(D53-$B$12&gt;=$B$13,"OK - margin "&amp;TEXT(D53-$B$12,"0.0")&amp;" m","RISK OF CAVITATION - raise tank or lower pump")</f>
        <v>OK - margin 6.9 m</v>
      </c>
      <c r="E54" s="7" t="s">
        <v>45</v>
      </c>
      <c r="F54" s="7"/>
    </row>
    <row r="55" customFormat="false" ht="23.85" hidden="false" customHeight="false" outlineLevel="0" collapsed="false">
      <c r="A55" s="7" t="s">
        <v>297</v>
      </c>
      <c r="B55" s="36" t="n">
        <f aca="false">$B$6*Inputs!$B$29/B25</f>
        <v>12</v>
      </c>
      <c r="C55" s="7" t="s">
        <v>45</v>
      </c>
      <c r="D55" s="36" t="n">
        <f aca="false">$B$6*Inputs!$B$29/D25</f>
        <v>10</v>
      </c>
      <c r="E55" s="7" t="s">
        <v>185</v>
      </c>
      <c r="F55" s="7" t="s">
        <v>298</v>
      </c>
    </row>
    <row r="56" customFormat="false" ht="23.85" hidden="false" customHeight="false" outlineLevel="0" collapsed="false">
      <c r="A56" s="7" t="s">
        <v>299</v>
      </c>
      <c r="B56" s="37" t="n">
        <f aca="false">$B$6*Inputs!$B$29/B27</f>
        <v>6</v>
      </c>
      <c r="C56" s="37" t="n">
        <f aca="false">$B$15/60*$B$16</f>
        <v>0.166666666666667</v>
      </c>
      <c r="D56" s="37" t="n">
        <f aca="false">$B$6*Inputs!$B$29/D27</f>
        <v>6</v>
      </c>
      <c r="E56" s="7" t="s">
        <v>185</v>
      </c>
      <c r="F56" s="7" t="s">
        <v>300</v>
      </c>
    </row>
    <row r="57" customFormat="false" ht="15" hidden="false" customHeight="false" outlineLevel="0" collapsed="false">
      <c r="A57" s="7" t="s">
        <v>301</v>
      </c>
      <c r="B57" s="36" t="n">
        <f aca="false">B27*B56</f>
        <v>120</v>
      </c>
      <c r="C57" s="36" t="n">
        <f aca="false">C27*C56</f>
        <v>5</v>
      </c>
      <c r="D57" s="36" t="n">
        <f aca="false">D27*D56</f>
        <v>120</v>
      </c>
      <c r="E57" s="7" t="s">
        <v>302</v>
      </c>
      <c r="F57" s="7" t="s">
        <v>303</v>
      </c>
    </row>
    <row r="59" customFormat="false" ht="15" hidden="false" customHeight="false" outlineLevel="0" collapsed="false">
      <c r="A59" s="10" t="s">
        <v>304</v>
      </c>
      <c r="B59" s="11"/>
      <c r="C59" s="11"/>
      <c r="D59" s="11"/>
      <c r="E59" s="11"/>
      <c r="F59" s="11"/>
    </row>
    <row r="60" customFormat="false" ht="45" hidden="false" customHeight="true" outlineLevel="0" collapsed="false">
      <c r="A60" s="4" t="s">
        <v>2</v>
      </c>
      <c r="B60" s="4" t="s">
        <v>3</v>
      </c>
      <c r="C60" s="4"/>
      <c r="D60" s="4"/>
      <c r="E60" s="4" t="s">
        <v>4</v>
      </c>
      <c r="F60" s="4" t="s">
        <v>195</v>
      </c>
    </row>
    <row r="61" customFormat="false" ht="15" hidden="false" customHeight="false" outlineLevel="0" collapsed="false">
      <c r="A61" s="7" t="s">
        <v>305</v>
      </c>
      <c r="B61" s="37" t="n">
        <f aca="false">$B$6*Inputs!$B$29</f>
        <v>120</v>
      </c>
      <c r="C61" s="7"/>
      <c r="D61" s="7"/>
      <c r="E61" s="7" t="s">
        <v>302</v>
      </c>
      <c r="F61" s="7" t="s">
        <v>306</v>
      </c>
    </row>
    <row r="62" customFormat="false" ht="23.85" hidden="false" customHeight="false" outlineLevel="0" collapsed="false">
      <c r="A62" s="7" t="s">
        <v>307</v>
      </c>
      <c r="B62" s="17" t="n">
        <v>60</v>
      </c>
      <c r="C62" s="7"/>
      <c r="D62" s="7"/>
      <c r="E62" s="7" t="s">
        <v>308</v>
      </c>
      <c r="F62" s="7" t="s">
        <v>309</v>
      </c>
    </row>
    <row r="63" customFormat="false" ht="23.85" hidden="false" customHeight="false" outlineLevel="0" collapsed="false">
      <c r="A63" s="7" t="s">
        <v>310</v>
      </c>
      <c r="B63" s="37" t="n">
        <f aca="false">B62/$B$6</f>
        <v>3</v>
      </c>
      <c r="C63" s="7"/>
      <c r="D63" s="7"/>
      <c r="E63" s="7" t="s">
        <v>311</v>
      </c>
      <c r="F63" s="7" t="s">
        <v>312</v>
      </c>
    </row>
    <row r="64" customFormat="false" ht="15" hidden="false" customHeight="false" outlineLevel="0" collapsed="false">
      <c r="A64" s="7" t="s">
        <v>313</v>
      </c>
      <c r="B64" s="37" t="n">
        <f aca="false">C27*$B$15/60</f>
        <v>5</v>
      </c>
      <c r="C64" s="7"/>
      <c r="D64" s="7"/>
      <c r="E64" s="7" t="s">
        <v>308</v>
      </c>
      <c r="F64" s="7" t="s">
        <v>314</v>
      </c>
    </row>
    <row r="65" customFormat="false" ht="15" hidden="false" customHeight="false" outlineLevel="0" collapsed="false">
      <c r="A65" s="7" t="s">
        <v>315</v>
      </c>
      <c r="B65" s="37" t="n">
        <f aca="false">B64*$B$16</f>
        <v>5</v>
      </c>
      <c r="C65" s="7"/>
      <c r="D65" s="7"/>
      <c r="E65" s="7" t="s">
        <v>302</v>
      </c>
      <c r="F65" s="7" t="s">
        <v>316</v>
      </c>
    </row>
    <row r="66" customFormat="false" ht="15" hidden="false" customHeight="false" outlineLevel="0" collapsed="false">
      <c r="A66" s="7" t="s">
        <v>317</v>
      </c>
      <c r="B66" s="42" t="n">
        <f aca="false">B65/B61</f>
        <v>0.0416666666666667</v>
      </c>
      <c r="C66" s="7"/>
      <c r="D66" s="7"/>
      <c r="E66" s="7" t="s">
        <v>165</v>
      </c>
      <c r="F66" s="7" t="s">
        <v>318</v>
      </c>
    </row>
    <row r="67" customFormat="false" ht="23.85" hidden="false" customHeight="false" outlineLevel="0" collapsed="false">
      <c r="A67" s="7" t="s">
        <v>319</v>
      </c>
      <c r="B67" s="37" t="str">
        <f aca="false">IF(13&gt;=B64,"OK - tank holds a full backwash","CHECK - backwash exceeds clarified tank low volume")</f>
        <v>OK - tank holds a full backwash</v>
      </c>
      <c r="C67" s="7"/>
      <c r="D67" s="7"/>
      <c r="E67" s="7" t="s">
        <v>45</v>
      </c>
      <c r="F67" s="7" t="s">
        <v>320</v>
      </c>
    </row>
    <row r="68" customFormat="false" ht="15" hidden="false" customHeight="false" outlineLevel="0" collapsed="false">
      <c r="A68" s="7" t="s">
        <v>321</v>
      </c>
      <c r="B68" s="37" t="n">
        <f aca="false">B61-B65</f>
        <v>115</v>
      </c>
      <c r="C68" s="7"/>
      <c r="D68" s="7"/>
      <c r="E68" s="7" t="s">
        <v>302</v>
      </c>
      <c r="F68" s="7" t="s">
        <v>322</v>
      </c>
    </row>
    <row r="69" customFormat="false" ht="15" hidden="false" customHeight="false" outlineLevel="0" collapsed="false">
      <c r="A69" s="7" t="s">
        <v>323</v>
      </c>
      <c r="B69" s="13" t="n">
        <v>135</v>
      </c>
      <c r="C69" s="7"/>
      <c r="D69" s="7"/>
      <c r="E69" s="7" t="s">
        <v>308</v>
      </c>
      <c r="F69" s="7" t="s">
        <v>139</v>
      </c>
    </row>
    <row r="70" customFormat="false" ht="15" hidden="false" customHeight="false" outlineLevel="0" collapsed="false">
      <c r="A70" s="7" t="s">
        <v>324</v>
      </c>
      <c r="B70" s="37" t="n">
        <f aca="false">B69/B68</f>
        <v>1.17391304347826</v>
      </c>
      <c r="C70" s="7"/>
      <c r="D70" s="7"/>
      <c r="E70" s="7" t="s">
        <v>188</v>
      </c>
      <c r="F70" s="7" t="s">
        <v>325</v>
      </c>
    </row>
    <row r="71" customFormat="false" ht="15" hidden="false" customHeight="false" outlineLevel="0" collapsed="false">
      <c r="A71" s="7" t="s">
        <v>326</v>
      </c>
      <c r="B71" s="37" t="n">
        <f aca="false">PI()/4*$B$14^2</f>
        <v>1.13097335529233</v>
      </c>
      <c r="C71" s="7"/>
      <c r="D71" s="7"/>
      <c r="E71" s="7" t="s">
        <v>251</v>
      </c>
      <c r="F71" s="7" t="s">
        <v>327</v>
      </c>
    </row>
    <row r="72" customFormat="false" ht="23.85" hidden="false" customHeight="false" outlineLevel="0" collapsed="false">
      <c r="A72" s="7" t="s">
        <v>328</v>
      </c>
      <c r="B72" s="37" t="n">
        <f aca="false">$B$6/B71</f>
        <v>17.6838825657661</v>
      </c>
      <c r="C72" s="7"/>
      <c r="D72" s="7"/>
      <c r="E72" s="7" t="s">
        <v>329</v>
      </c>
      <c r="F72" s="7" t="s">
        <v>330</v>
      </c>
    </row>
    <row r="73" customFormat="false" ht="15" hidden="false" customHeight="false" outlineLevel="0" collapsed="false">
      <c r="A73" s="7" t="s">
        <v>331</v>
      </c>
      <c r="B73" s="37" t="n">
        <f aca="false">C27/B71</f>
        <v>26.5258238486492</v>
      </c>
      <c r="C73" s="7"/>
      <c r="D73" s="7"/>
      <c r="E73" s="7" t="s">
        <v>329</v>
      </c>
      <c r="F73" s="7" t="s">
        <v>332</v>
      </c>
    </row>
    <row r="75" customFormat="false" ht="15" hidden="false" customHeight="true" outlineLevel="0" collapsed="false">
      <c r="A75" s="43" t="s">
        <v>118</v>
      </c>
      <c r="B75" s="43"/>
      <c r="C75" s="43"/>
      <c r="D75" s="43"/>
      <c r="E75" s="43"/>
      <c r="F75" s="43"/>
    </row>
    <row r="76" customFormat="false" ht="57.75" hidden="false" customHeight="true" outlineLevel="0" collapsed="false">
      <c r="A76" s="44" t="s">
        <v>333</v>
      </c>
      <c r="B76" s="44"/>
      <c r="C76" s="44"/>
      <c r="D76" s="44"/>
      <c r="E76" s="44"/>
      <c r="F76" s="44"/>
    </row>
    <row r="77" customFormat="false" ht="30" hidden="false" customHeight="true" outlineLevel="0" collapsed="false">
      <c r="A77" s="44" t="s">
        <v>334</v>
      </c>
      <c r="B77" s="44"/>
      <c r="C77" s="44"/>
      <c r="D77" s="44"/>
      <c r="E77" s="44"/>
      <c r="F77" s="44"/>
    </row>
    <row r="78" customFormat="false" ht="57.75" hidden="false" customHeight="true" outlineLevel="0" collapsed="false">
      <c r="A78" s="44" t="s">
        <v>335</v>
      </c>
      <c r="B78" s="44"/>
      <c r="C78" s="44"/>
      <c r="D78" s="44"/>
      <c r="E78" s="44"/>
      <c r="F78" s="44"/>
    </row>
    <row r="79" customFormat="false" ht="30" hidden="false" customHeight="true" outlineLevel="0" collapsed="false">
      <c r="A79" s="44" t="s">
        <v>336</v>
      </c>
      <c r="B79" s="44"/>
      <c r="C79" s="44"/>
      <c r="D79" s="44"/>
      <c r="E79" s="44"/>
      <c r="F79" s="44"/>
    </row>
    <row r="80" customFormat="false" ht="30" hidden="false" customHeight="true" outlineLevel="0" collapsed="false">
      <c r="A80" s="44" t="s">
        <v>337</v>
      </c>
      <c r="B80" s="44"/>
      <c r="C80" s="44"/>
      <c r="D80" s="44"/>
      <c r="E80" s="44"/>
      <c r="F80" s="44"/>
    </row>
  </sheetData>
  <mergeCells count="6">
    <mergeCell ref="A75:F75"/>
    <mergeCell ref="A76:F76"/>
    <mergeCell ref="A77:F77"/>
    <mergeCell ref="A78:F78"/>
    <mergeCell ref="A79:F79"/>
    <mergeCell ref="A80:F8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30"/>
    <col collapsed="false" customWidth="true" hidden="false" outlineLevel="0" max="4" min="4" style="1" width="10"/>
    <col collapsed="false" customWidth="true" hidden="false" outlineLevel="0" max="6" min="5" style="1" width="9"/>
    <col collapsed="false" customWidth="true" hidden="false" outlineLevel="0" max="7" min="7" style="1" width="11"/>
    <col collapsed="false" customWidth="true" hidden="false" outlineLevel="0" max="8" min="8" style="1" width="9"/>
    <col collapsed="false" customWidth="true" hidden="false" outlineLevel="0" max="9" min="9" style="1" width="10"/>
    <col collapsed="false" customWidth="true" hidden="false" outlineLevel="0" max="13" min="10" style="1" width="11"/>
    <col collapsed="false" customWidth="true" hidden="false" outlineLevel="0" max="14" min="14" style="1" width="9"/>
    <col collapsed="false" customWidth="true" hidden="false" outlineLevel="0" max="15" min="15" style="1" width="8"/>
    <col collapsed="false" customWidth="true" hidden="false" outlineLevel="0" max="16" min="16" style="1" width="10"/>
    <col collapsed="false" customWidth="true" hidden="false" outlineLevel="0" max="18" min="17" style="1" width="12"/>
    <col collapsed="false" customWidth="true" hidden="false" outlineLevel="0" max="19" min="19" style="1" width="46"/>
  </cols>
  <sheetData>
    <row r="1" customFormat="false" ht="17.25" hidden="false" customHeight="true" outlineLevel="0" collapsed="false">
      <c r="A1" s="2" t="s">
        <v>338</v>
      </c>
    </row>
    <row r="2" customFormat="false" ht="15" hidden="false" customHeight="true" outlineLevel="0" collapsed="false">
      <c r="A2" s="3" t="s">
        <v>339</v>
      </c>
    </row>
    <row r="4" customFormat="false" ht="42" hidden="false" customHeight="true" outlineLevel="0" collapsed="false">
      <c r="A4" s="4" t="s">
        <v>64</v>
      </c>
      <c r="B4" s="4" t="s">
        <v>340</v>
      </c>
      <c r="C4" s="4" t="s">
        <v>341</v>
      </c>
      <c r="D4" s="4" t="s">
        <v>342</v>
      </c>
      <c r="E4" s="4" t="s">
        <v>343</v>
      </c>
      <c r="F4" s="4" t="s">
        <v>344</v>
      </c>
      <c r="G4" s="4" t="s">
        <v>345</v>
      </c>
      <c r="H4" s="4" t="s">
        <v>346</v>
      </c>
      <c r="I4" s="4" t="s">
        <v>347</v>
      </c>
      <c r="J4" s="4" t="s">
        <v>348</v>
      </c>
      <c r="K4" s="4" t="s">
        <v>349</v>
      </c>
      <c r="L4" s="4" t="s">
        <v>350</v>
      </c>
      <c r="M4" s="4" t="s">
        <v>351</v>
      </c>
      <c r="N4" s="4" t="s">
        <v>352</v>
      </c>
      <c r="O4" s="4" t="s">
        <v>353</v>
      </c>
      <c r="P4" s="4" t="s">
        <v>354</v>
      </c>
      <c r="Q4" s="4" t="s">
        <v>76</v>
      </c>
      <c r="R4" s="4" t="s">
        <v>355</v>
      </c>
      <c r="S4" s="4" t="s">
        <v>356</v>
      </c>
    </row>
    <row r="5" customFormat="false" ht="15" hidden="false" customHeight="true" outlineLevel="0" collapsed="false">
      <c r="A5" s="12" t="n">
        <v>1</v>
      </c>
      <c r="B5" s="7" t="s">
        <v>357</v>
      </c>
      <c r="C5" s="7" t="s">
        <v>358</v>
      </c>
      <c r="D5" s="45" t="s">
        <v>359</v>
      </c>
      <c r="E5" s="35" t="n">
        <v>10</v>
      </c>
      <c r="F5" s="35" t="n">
        <v>30</v>
      </c>
      <c r="G5" s="37" t="n">
        <f aca="false">Inputs!$B$14*Inputs!$B$15*E5*F5/(3600*1000)</f>
        <v>0.8175</v>
      </c>
      <c r="H5" s="22" t="n">
        <f aca="false">Inputs!$B$12</f>
        <v>0.65</v>
      </c>
      <c r="I5" s="37" t="n">
        <f aca="false">G5/H5</f>
        <v>1.25769230769231</v>
      </c>
      <c r="J5" s="37" t="n">
        <f aca="false">I5*Inputs!$B$13</f>
        <v>1.50923076923077</v>
      </c>
      <c r="K5" s="37" t="n">
        <f aca="false">INDEX(Inputs!$F$5:$F$19,COUNTIF(Inputs!$F$5:$F$19,"&lt;"&amp;J5)+1)</f>
        <v>2.2</v>
      </c>
      <c r="L5" s="35" t="n">
        <v>5.5</v>
      </c>
      <c r="M5" s="37" t="n">
        <f aca="false">IF(Inputs!$B$27="Calculated",K5,L5)</f>
        <v>5.5</v>
      </c>
      <c r="N5" s="46" t="n">
        <f aca="false">Inputs!$B$11</f>
        <v>0.896</v>
      </c>
      <c r="O5" s="22" t="n">
        <f aca="false">Inputs!$B$9</f>
        <v>0.85</v>
      </c>
      <c r="P5" s="36" t="n">
        <f aca="false">M5*1000/(SQRT(3)*Inputs!$B$6*N5*O5)</f>
        <v>10.0467831848706</v>
      </c>
      <c r="Q5" s="12" t="str">
        <f aca="false">IF(M5&gt;=Inputs!$B$26,"Star-Delta","DOL")</f>
        <v>Star-Delta</v>
      </c>
      <c r="R5" s="36" t="n">
        <f aca="false">P5*IF(Q5="DOL",Inputs!$B$24,Inputs!$B$25)</f>
        <v>20.0935663697412</v>
      </c>
      <c r="S5" s="7" t="s">
        <v>360</v>
      </c>
    </row>
    <row r="6" customFormat="false" ht="15" hidden="false" customHeight="true" outlineLevel="0" collapsed="false">
      <c r="A6" s="12" t="n">
        <v>2</v>
      </c>
      <c r="B6" s="7" t="s">
        <v>361</v>
      </c>
      <c r="C6" s="7" t="s">
        <v>362</v>
      </c>
      <c r="D6" s="45" t="s">
        <v>363</v>
      </c>
      <c r="E6" s="35" t="n">
        <v>10</v>
      </c>
      <c r="F6" s="35" t="n">
        <v>30</v>
      </c>
      <c r="G6" s="37" t="n">
        <f aca="false">Inputs!$B$14*Inputs!$B$15*E6*F6/(3600*1000)</f>
        <v>0.8175</v>
      </c>
      <c r="H6" s="22" t="n">
        <f aca="false">Inputs!$B$12</f>
        <v>0.65</v>
      </c>
      <c r="I6" s="37" t="n">
        <f aca="false">G6/H6</f>
        <v>1.25769230769231</v>
      </c>
      <c r="J6" s="37" t="n">
        <f aca="false">I6*Inputs!$B$13</f>
        <v>1.50923076923077</v>
      </c>
      <c r="K6" s="37" t="n">
        <f aca="false">INDEX(Inputs!$F$5:$F$19,COUNTIF(Inputs!$F$5:$F$19,"&lt;"&amp;J6)+1)</f>
        <v>2.2</v>
      </c>
      <c r="L6" s="35" t="n">
        <v>5.5</v>
      </c>
      <c r="M6" s="37" t="n">
        <f aca="false">IF(Inputs!$B$27="Calculated",K6,L6)</f>
        <v>5.5</v>
      </c>
      <c r="N6" s="46" t="n">
        <f aca="false">Inputs!$B$11</f>
        <v>0.896</v>
      </c>
      <c r="O6" s="22" t="n">
        <f aca="false">Inputs!$B$9</f>
        <v>0.85</v>
      </c>
      <c r="P6" s="36" t="n">
        <f aca="false">M6*1000/(SQRT(3)*Inputs!$B$6*N6*O6)</f>
        <v>10.0467831848706</v>
      </c>
      <c r="Q6" s="12" t="str">
        <f aca="false">IF(M6&gt;=Inputs!$B$26,"Star-Delta","DOL")</f>
        <v>Star-Delta</v>
      </c>
      <c r="R6" s="36" t="n">
        <f aca="false">P6*IF(Q6="DOL",Inputs!$B$24,Inputs!$B$25)</f>
        <v>20.0935663697412</v>
      </c>
      <c r="S6" s="7" t="s">
        <v>364</v>
      </c>
    </row>
    <row r="7" customFormat="false" ht="23.25" hidden="false" customHeight="true" outlineLevel="0" collapsed="false">
      <c r="A7" s="12" t="n">
        <v>3</v>
      </c>
      <c r="B7" s="7" t="s">
        <v>365</v>
      </c>
      <c r="C7" s="7" t="s">
        <v>366</v>
      </c>
      <c r="D7" s="45" t="s">
        <v>359</v>
      </c>
      <c r="E7" s="35" t="n">
        <v>30</v>
      </c>
      <c r="F7" s="35" t="n">
        <v>30</v>
      </c>
      <c r="G7" s="37" t="n">
        <f aca="false">Inputs!$B$14*Inputs!$B$15*E7*F7/(3600*1000)</f>
        <v>2.4525</v>
      </c>
      <c r="H7" s="22" t="n">
        <f aca="false">Inputs!$B$12</f>
        <v>0.65</v>
      </c>
      <c r="I7" s="37" t="n">
        <f aca="false">G7/H7</f>
        <v>3.77307692307692</v>
      </c>
      <c r="J7" s="37" t="n">
        <f aca="false">I7*Inputs!$B$13</f>
        <v>4.52769230769231</v>
      </c>
      <c r="K7" s="37" t="n">
        <f aca="false">INDEX(Inputs!$F$5:$F$19,COUNTIF(Inputs!$F$5:$F$19,"&lt;"&amp;J7)+1)</f>
        <v>5.5</v>
      </c>
      <c r="L7" s="35" t="n">
        <v>5.5</v>
      </c>
      <c r="M7" s="37" t="n">
        <f aca="false">IF(Inputs!$B$27="Calculated",K7,L7)</f>
        <v>5.5</v>
      </c>
      <c r="N7" s="46" t="n">
        <f aca="false">Inputs!$B$11</f>
        <v>0.896</v>
      </c>
      <c r="O7" s="22" t="n">
        <f aca="false">Inputs!$B$9</f>
        <v>0.85</v>
      </c>
      <c r="P7" s="36" t="n">
        <f aca="false">M7*1000/(SQRT(3)*Inputs!$B$6*N7*O7)</f>
        <v>10.0467831848706</v>
      </c>
      <c r="Q7" s="12" t="str">
        <f aca="false">IF(M7&gt;=Inputs!$B$26,"Star-Delta","DOL")</f>
        <v>Star-Delta</v>
      </c>
      <c r="R7" s="36" t="n">
        <f aca="false">P7*IF(Q7="DOL",Inputs!$B$24,Inputs!$B$25)</f>
        <v>20.0935663697412</v>
      </c>
      <c r="S7" s="7" t="s">
        <v>367</v>
      </c>
    </row>
    <row r="8" customFormat="false" ht="15" hidden="false" customHeight="true" outlineLevel="0" collapsed="false">
      <c r="A8" s="12" t="n">
        <v>4</v>
      </c>
      <c r="B8" s="7" t="s">
        <v>368</v>
      </c>
      <c r="C8" s="7" t="s">
        <v>369</v>
      </c>
      <c r="D8" s="45" t="s">
        <v>363</v>
      </c>
      <c r="E8" s="35" t="n">
        <v>30</v>
      </c>
      <c r="F8" s="35" t="n">
        <v>30</v>
      </c>
      <c r="G8" s="37" t="n">
        <f aca="false">Inputs!$B$14*Inputs!$B$15*E8*F8/(3600*1000)</f>
        <v>2.4525</v>
      </c>
      <c r="H8" s="22" t="n">
        <f aca="false">Inputs!$B$12</f>
        <v>0.65</v>
      </c>
      <c r="I8" s="37" t="n">
        <f aca="false">G8/H8</f>
        <v>3.77307692307692</v>
      </c>
      <c r="J8" s="37" t="n">
        <f aca="false">I8*Inputs!$B$13</f>
        <v>4.52769230769231</v>
      </c>
      <c r="K8" s="37" t="n">
        <f aca="false">INDEX(Inputs!$F$5:$F$19,COUNTIF(Inputs!$F$5:$F$19,"&lt;"&amp;J8)+1)</f>
        <v>5.5</v>
      </c>
      <c r="L8" s="35" t="n">
        <v>5.5</v>
      </c>
      <c r="M8" s="37" t="n">
        <f aca="false">IF(Inputs!$B$27="Calculated",K8,L8)</f>
        <v>5.5</v>
      </c>
      <c r="N8" s="46" t="n">
        <f aca="false">Inputs!$B$11</f>
        <v>0.896</v>
      </c>
      <c r="O8" s="22" t="n">
        <f aca="false">Inputs!$B$9</f>
        <v>0.85</v>
      </c>
      <c r="P8" s="36" t="n">
        <f aca="false">M8*1000/(SQRT(3)*Inputs!$B$6*N8*O8)</f>
        <v>10.0467831848706</v>
      </c>
      <c r="Q8" s="12" t="str">
        <f aca="false">IF(M8&gt;=Inputs!$B$26,"Star-Delta","DOL")</f>
        <v>Star-Delta</v>
      </c>
      <c r="R8" s="36" t="n">
        <f aca="false">P8*IF(Q8="DOL",Inputs!$B$24,Inputs!$B$25)</f>
        <v>20.0935663697412</v>
      </c>
      <c r="S8" s="7" t="s">
        <v>370</v>
      </c>
    </row>
    <row r="9" customFormat="false" ht="23.25" hidden="false" customHeight="true" outlineLevel="0" collapsed="false">
      <c r="A9" s="12" t="n">
        <v>5</v>
      </c>
      <c r="B9" s="7" t="s">
        <v>87</v>
      </c>
      <c r="C9" s="7" t="s">
        <v>86</v>
      </c>
      <c r="D9" s="45" t="s">
        <v>359</v>
      </c>
      <c r="E9" s="35" t="n">
        <v>12</v>
      </c>
      <c r="F9" s="35" t="n">
        <v>30</v>
      </c>
      <c r="G9" s="37" t="n">
        <f aca="false">Inputs!$B$14*Inputs!$B$15*E9*F9/(3600*1000)</f>
        <v>0.981</v>
      </c>
      <c r="H9" s="22" t="n">
        <f aca="false">Inputs!$B$12</f>
        <v>0.65</v>
      </c>
      <c r="I9" s="37" t="n">
        <f aca="false">G9/H9</f>
        <v>1.50923076923077</v>
      </c>
      <c r="J9" s="37" t="n">
        <f aca="false">I9*Inputs!$B$13</f>
        <v>1.81107692307692</v>
      </c>
      <c r="K9" s="37" t="n">
        <f aca="false">INDEX(Inputs!$F$5:$F$19,COUNTIF(Inputs!$F$5:$F$19,"&lt;"&amp;J9)+1)</f>
        <v>2.2</v>
      </c>
      <c r="L9" s="35" t="n">
        <v>5.5</v>
      </c>
      <c r="M9" s="37" t="n">
        <f aca="false">IF(Inputs!$B$27="Calculated",K9,L9)</f>
        <v>5.5</v>
      </c>
      <c r="N9" s="46" t="n">
        <f aca="false">Inputs!$B$11</f>
        <v>0.896</v>
      </c>
      <c r="O9" s="22" t="n">
        <f aca="false">Inputs!$B$9</f>
        <v>0.85</v>
      </c>
      <c r="P9" s="36" t="n">
        <f aca="false">M9*1000/(SQRT(3)*Inputs!$B$6*N9*O9)</f>
        <v>10.0467831848706</v>
      </c>
      <c r="Q9" s="12" t="str">
        <f aca="false">IF(M9&gt;=Inputs!$B$26,"Star-Delta","DOL")</f>
        <v>Star-Delta</v>
      </c>
      <c r="R9" s="36" t="n">
        <f aca="false">P9*IF(Q9="DOL",Inputs!$B$24,Inputs!$B$25)</f>
        <v>20.0935663697412</v>
      </c>
      <c r="S9" s="7" t="s">
        <v>371</v>
      </c>
    </row>
    <row r="11" customFormat="false" ht="23.25" hidden="false" customHeight="true" outlineLevel="0" collapsed="false">
      <c r="C11" s="18" t="s">
        <v>372</v>
      </c>
      <c r="M11" s="47" t="n">
        <f aca="false">SUM(M5:M9)</f>
        <v>27.5</v>
      </c>
    </row>
    <row r="12" customFormat="false" ht="23.25" hidden="false" customHeight="true" outlineLevel="0" collapsed="false">
      <c r="C12" s="18" t="s">
        <v>373</v>
      </c>
      <c r="M12" s="47" t="n">
        <f aca="false">SUMIF(D5:D9,"Duty",M5:M9)</f>
        <v>16.5</v>
      </c>
    </row>
    <row r="13" customFormat="false" ht="15" hidden="false" customHeight="true" outlineLevel="0" collapsed="false">
      <c r="C13" s="18" t="s">
        <v>374</v>
      </c>
      <c r="M13" s="47" t="n">
        <f aca="false">MAX(M5:M9)</f>
        <v>5.5</v>
      </c>
    </row>
    <row r="15" customFormat="false" ht="15" hidden="false" customHeight="true" outlineLevel="0" collapsed="false">
      <c r="A15" s="24" t="s">
        <v>118</v>
      </c>
    </row>
    <row r="16" customFormat="false" ht="15" hidden="false" customHeight="true" outlineLevel="0" collapsed="false">
      <c r="A16" s="25" t="s">
        <v>375</v>
      </c>
    </row>
    <row r="17" customFormat="false" ht="15" hidden="false" customHeight="true" outlineLevel="0" collapsed="false">
      <c r="A17" s="25" t="s">
        <v>376</v>
      </c>
    </row>
    <row r="18" customFormat="false" ht="15" hidden="false" customHeight="true" outlineLevel="0" collapsed="false">
      <c r="A18" s="25" t="s">
        <v>377</v>
      </c>
    </row>
    <row r="19" customFormat="false" ht="15" hidden="false" customHeight="true" outlineLevel="0" collapsed="false">
      <c r="A19" s="25" t="s">
        <v>378</v>
      </c>
    </row>
    <row r="20" customFormat="false" ht="15" hidden="false" customHeight="true" outlineLevel="0" collapsed="false">
      <c r="A20" s="25" t="s">
        <v>379</v>
      </c>
    </row>
    <row r="21" customFormat="false" ht="15" hidden="false" customHeight="true" outlineLevel="0" collapsed="false">
      <c r="A21" s="25" t="s">
        <v>380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30"/>
    <col collapsed="false" customWidth="true" hidden="false" outlineLevel="0" max="3" min="3" style="1" width="10"/>
    <col collapsed="false" customWidth="true" hidden="false" outlineLevel="0" max="4" min="4" style="1" width="7"/>
    <col collapsed="false" customWidth="true" hidden="false" outlineLevel="0" max="5" min="5" style="1" width="5"/>
    <col collapsed="false" customWidth="true" hidden="false" outlineLevel="0" max="6" min="6" style="1" width="9"/>
    <col collapsed="false" customWidth="true" hidden="false" outlineLevel="0" max="7" min="7" style="1" width="11"/>
    <col collapsed="false" customWidth="true" hidden="false" outlineLevel="0" max="9" min="8" style="1" width="7"/>
    <col collapsed="false" customWidth="true" hidden="false" outlineLevel="0" max="12" min="10" style="1" width="9"/>
    <col collapsed="false" customWidth="true" hidden="false" outlineLevel="0" max="13" min="13" style="1" width="10"/>
    <col collapsed="false" customWidth="true" hidden="false" outlineLevel="0" max="14" min="14" style="1" width="11"/>
    <col collapsed="false" customWidth="true" hidden="false" outlineLevel="0" max="15" min="15" style="1" width="10"/>
    <col collapsed="false" customWidth="true" hidden="false" outlineLevel="0" max="17" min="16" style="1" width="11"/>
    <col collapsed="false" customWidth="true" hidden="false" outlineLevel="0" max="18" min="18" style="1" width="12"/>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0"/>
    <col collapsed="false" customWidth="true" hidden="false" outlineLevel="0" max="24" min="23" style="1" width="9"/>
    <col collapsed="false" customWidth="true" hidden="false" outlineLevel="0" max="25" min="25" style="1" width="12"/>
    <col collapsed="false" customWidth="true" hidden="false" outlineLevel="0" max="26" min="26" style="1" width="40"/>
  </cols>
  <sheetData>
    <row r="1" customFormat="false" ht="17.25" hidden="false" customHeight="true" outlineLevel="0" collapsed="false">
      <c r="A1" s="2" t="s">
        <v>381</v>
      </c>
    </row>
    <row r="2" customFormat="false" ht="15" hidden="false" customHeight="true" outlineLevel="0" collapsed="false">
      <c r="A2" s="3" t="s">
        <v>382</v>
      </c>
    </row>
    <row r="4" customFormat="false" ht="42" hidden="false" customHeight="true" outlineLevel="0" collapsed="false">
      <c r="A4" s="4" t="s">
        <v>383</v>
      </c>
      <c r="B4" s="4" t="s">
        <v>384</v>
      </c>
      <c r="C4" s="4" t="s">
        <v>385</v>
      </c>
      <c r="D4" s="4" t="s">
        <v>386</v>
      </c>
      <c r="E4" s="4" t="s">
        <v>387</v>
      </c>
      <c r="F4" s="4" t="s">
        <v>388</v>
      </c>
      <c r="G4" s="4" t="s">
        <v>389</v>
      </c>
      <c r="H4" s="4" t="s">
        <v>353</v>
      </c>
      <c r="I4" s="4" t="s">
        <v>390</v>
      </c>
      <c r="J4" s="4" t="s">
        <v>354</v>
      </c>
      <c r="K4" s="4" t="s">
        <v>391</v>
      </c>
      <c r="L4" s="4" t="s">
        <v>392</v>
      </c>
      <c r="M4" s="4" t="s">
        <v>393</v>
      </c>
      <c r="N4" s="4" t="s">
        <v>394</v>
      </c>
      <c r="O4" s="4" t="s">
        <v>395</v>
      </c>
      <c r="P4" s="4" t="s">
        <v>396</v>
      </c>
      <c r="Q4" s="4" t="s">
        <v>397</v>
      </c>
      <c r="R4" s="4" t="s">
        <v>398</v>
      </c>
      <c r="S4" s="4" t="s">
        <v>76</v>
      </c>
      <c r="T4" s="4" t="s">
        <v>399</v>
      </c>
      <c r="U4" s="4" t="s">
        <v>400</v>
      </c>
      <c r="V4" s="4" t="s">
        <v>130</v>
      </c>
      <c r="W4" s="4" t="s">
        <v>401</v>
      </c>
      <c r="X4" s="4" t="s">
        <v>402</v>
      </c>
      <c r="Y4" s="4" t="s">
        <v>403</v>
      </c>
      <c r="Z4" s="4" t="s">
        <v>404</v>
      </c>
    </row>
    <row r="5" customFormat="false" ht="15" hidden="false" customHeight="true" outlineLevel="0" collapsed="false">
      <c r="A5" s="7" t="s">
        <v>405</v>
      </c>
      <c r="B5" s="7" t="s">
        <v>358</v>
      </c>
      <c r="C5" s="45" t="s">
        <v>406</v>
      </c>
      <c r="D5" s="13" t="n">
        <v>3</v>
      </c>
      <c r="E5" s="13" t="n">
        <v>1</v>
      </c>
      <c r="F5" s="22" t="n">
        <f aca="false">'Pump Sizing'!M5</f>
        <v>5.5</v>
      </c>
      <c r="G5" s="37" t="n">
        <f aca="false">E5*F5</f>
        <v>5.5</v>
      </c>
      <c r="H5" s="22" t="n">
        <f aca="false">IF(C5="Motor",Inputs!$B$9,Inputs!$B$10)</f>
        <v>0.85</v>
      </c>
      <c r="I5" s="46" t="n">
        <f aca="false">IF(C5="Motor",Inputs!$B$11,1)</f>
        <v>0.896</v>
      </c>
      <c r="J5" s="36" t="n">
        <f aca="false">IF(D5=3,G5*1000/(SQRT(3)*Inputs!$B$6*H5*I5),G5*1000/(Inputs!$B$8*H5*I5))</f>
        <v>10.0467831848706</v>
      </c>
      <c r="K5" s="45" t="s">
        <v>407</v>
      </c>
      <c r="L5" s="34" t="n">
        <v>1</v>
      </c>
      <c r="M5" s="37" t="n">
        <f aca="false">IF(K5="Y",G5*L5/I5,0)</f>
        <v>6.13839285714286</v>
      </c>
      <c r="N5" s="37" t="n">
        <f aca="false">M5/H5</f>
        <v>7.22163865546218</v>
      </c>
      <c r="O5" s="22" t="n">
        <f aca="false">IF(C5="Motor",Inputs!$B$17,Inputs!$B$18)</f>
        <v>2</v>
      </c>
      <c r="P5" s="36" t="n">
        <f aca="false">J5*O5</f>
        <v>20.0935663697412</v>
      </c>
      <c r="Q5" s="48" t="n">
        <f aca="false">INDEX(Inputs!$H$5:$H$22,COUNTIF(Inputs!$H$5:$H$22,"&lt;"&amp;P5)+1)</f>
        <v>25</v>
      </c>
      <c r="R5" s="45" t="s">
        <v>408</v>
      </c>
      <c r="S5" s="12" t="str">
        <f aca="false">IF(C5&lt;&gt;"Motor","-",IF(F5&gt;=Inputs!$B$26,"Star-Delta","DOL"))</f>
        <v>Star-Delta</v>
      </c>
      <c r="T5" s="49" t="n">
        <v>30</v>
      </c>
      <c r="U5" s="36" t="n">
        <f aca="false">Q5/Inputs!$B$19</f>
        <v>28.735632183908</v>
      </c>
      <c r="V5" s="36" t="n">
        <f aca="false">INDEX(Inputs!$J$5:$J$19,COUNTIF(Inputs!$K$5:$K$19,"&lt;"&amp;U5)+1)</f>
        <v>2.5</v>
      </c>
      <c r="W5" s="48" t="n">
        <f aca="false">INDEX(Inputs!$K$5:$K$19,COUNTIF(Inputs!$K$5:$K$19,"&lt;"&amp;U5)+1)</f>
        <v>30</v>
      </c>
      <c r="X5" s="37" t="n">
        <f aca="false">INDEX(Inputs!$L$5:$L$19,COUNTIF(Inputs!$K$5:$K$19,"&lt;"&amp;U5)+1)*J5*T5/1000</f>
        <v>5.42526291983013</v>
      </c>
      <c r="Y5" s="50" t="n">
        <f aca="false">X5/IF(D5=3,Inputs!$B$6,Inputs!$B$8)</f>
        <v>0.0130729226983858</v>
      </c>
      <c r="Z5" s="12" t="str">
        <f aca="false">IF(Y5&lt;=IF(C5="Motor",Inputs!$B$20,Inputs!$B$21),"OK","EXCEEDS LIMIT - upsize cable")&amp;" - "&amp;"Star-Delta per drawing"</f>
        <v>OK - Star-Delta per drawing</v>
      </c>
    </row>
    <row r="6" customFormat="false" ht="15" hidden="false" customHeight="true" outlineLevel="0" collapsed="false">
      <c r="A6" s="7" t="s">
        <v>409</v>
      </c>
      <c r="B6" s="7" t="s">
        <v>362</v>
      </c>
      <c r="C6" s="45" t="s">
        <v>406</v>
      </c>
      <c r="D6" s="13" t="n">
        <v>3</v>
      </c>
      <c r="E6" s="13" t="n">
        <v>1</v>
      </c>
      <c r="F6" s="22" t="n">
        <f aca="false">'Pump Sizing'!M6</f>
        <v>5.5</v>
      </c>
      <c r="G6" s="37" t="n">
        <f aca="false">E6*F6</f>
        <v>5.5</v>
      </c>
      <c r="H6" s="22" t="n">
        <f aca="false">IF(C6="Motor",Inputs!$B$9,Inputs!$B$10)</f>
        <v>0.85</v>
      </c>
      <c r="I6" s="46" t="n">
        <f aca="false">IF(C6="Motor",Inputs!$B$11,1)</f>
        <v>0.896</v>
      </c>
      <c r="J6" s="36" t="n">
        <f aca="false">IF(D6=3,G6*1000/(SQRT(3)*Inputs!$B$6*H6*I6),G6*1000/(Inputs!$B$8*H6*I6))</f>
        <v>10.0467831848706</v>
      </c>
      <c r="K6" s="45" t="s">
        <v>410</v>
      </c>
      <c r="L6" s="34" t="n">
        <v>1</v>
      </c>
      <c r="M6" s="37" t="n">
        <f aca="false">IF(K6="Y",G6*L6/I6,0)</f>
        <v>0</v>
      </c>
      <c r="N6" s="37" t="n">
        <f aca="false">M6/H6</f>
        <v>0</v>
      </c>
      <c r="O6" s="22" t="n">
        <f aca="false">IF(C6="Motor",Inputs!$B$17,Inputs!$B$18)</f>
        <v>2</v>
      </c>
      <c r="P6" s="36" t="n">
        <f aca="false">J6*O6</f>
        <v>20.0935663697412</v>
      </c>
      <c r="Q6" s="48" t="n">
        <f aca="false">INDEX(Inputs!$H$5:$H$22,COUNTIF(Inputs!$H$5:$H$22,"&lt;"&amp;P6)+1)</f>
        <v>25</v>
      </c>
      <c r="R6" s="45" t="s">
        <v>408</v>
      </c>
      <c r="S6" s="12" t="str">
        <f aca="false">IF(C6&lt;&gt;"Motor","-",IF(F6&gt;=Inputs!$B$26,"Star-Delta","DOL"))</f>
        <v>Star-Delta</v>
      </c>
      <c r="T6" s="49" t="n">
        <v>30</v>
      </c>
      <c r="U6" s="36" t="n">
        <f aca="false">Q6/Inputs!$B$19</f>
        <v>28.735632183908</v>
      </c>
      <c r="V6" s="36" t="n">
        <f aca="false">INDEX(Inputs!$J$5:$J$19,COUNTIF(Inputs!$K$5:$K$19,"&lt;"&amp;U6)+1)</f>
        <v>2.5</v>
      </c>
      <c r="W6" s="48" t="n">
        <f aca="false">INDEX(Inputs!$K$5:$K$19,COUNTIF(Inputs!$K$5:$K$19,"&lt;"&amp;U6)+1)</f>
        <v>30</v>
      </c>
      <c r="X6" s="37" t="n">
        <f aca="false">INDEX(Inputs!$L$5:$L$19,COUNTIF(Inputs!$K$5:$K$19,"&lt;"&amp;U6)+1)*J6*T6/1000</f>
        <v>5.42526291983013</v>
      </c>
      <c r="Y6" s="50" t="n">
        <f aca="false">X6/IF(D6=3,Inputs!$B$6,Inputs!$B$8)</f>
        <v>0.0130729226983858</v>
      </c>
      <c r="Z6" s="12" t="str">
        <f aca="false">IF(Y6&lt;=IF(C6="Motor",Inputs!$B$20,Inputs!$B$21),"OK","EXCEEDS LIMIT - upsize cable")&amp;" - "&amp;"Standby - interlocked with MCC-1"</f>
        <v>OK - Standby - interlocked with MCC-1</v>
      </c>
    </row>
    <row r="7" customFormat="false" ht="23.25" hidden="false" customHeight="true" outlineLevel="0" collapsed="false">
      <c r="A7" s="7" t="s">
        <v>411</v>
      </c>
      <c r="B7" s="7" t="s">
        <v>366</v>
      </c>
      <c r="C7" s="45" t="s">
        <v>406</v>
      </c>
      <c r="D7" s="13" t="n">
        <v>3</v>
      </c>
      <c r="E7" s="13" t="n">
        <v>1</v>
      </c>
      <c r="F7" s="22" t="n">
        <f aca="false">'Pump Sizing'!M7</f>
        <v>5.5</v>
      </c>
      <c r="G7" s="37" t="n">
        <f aca="false">E7*F7</f>
        <v>5.5</v>
      </c>
      <c r="H7" s="22" t="n">
        <f aca="false">IF(C7="Motor",Inputs!$B$9,Inputs!$B$10)</f>
        <v>0.85</v>
      </c>
      <c r="I7" s="46" t="n">
        <f aca="false">IF(C7="Motor",Inputs!$B$11,1)</f>
        <v>0.896</v>
      </c>
      <c r="J7" s="36" t="n">
        <f aca="false">IF(D7=3,G7*1000/(SQRT(3)*Inputs!$B$6*H7*I7),G7*1000/(Inputs!$B$8*H7*I7))</f>
        <v>10.0467831848706</v>
      </c>
      <c r="K7" s="45" t="s">
        <v>407</v>
      </c>
      <c r="L7" s="34" t="n">
        <v>1</v>
      </c>
      <c r="M7" s="37" t="n">
        <f aca="false">IF(K7="Y",G7*L7/I7,0)</f>
        <v>6.13839285714286</v>
      </c>
      <c r="N7" s="37" t="n">
        <f aca="false">M7/H7</f>
        <v>7.22163865546218</v>
      </c>
      <c r="O7" s="22" t="n">
        <f aca="false">IF(C7="Motor",Inputs!$B$17,Inputs!$B$18)</f>
        <v>2</v>
      </c>
      <c r="P7" s="36" t="n">
        <f aca="false">J7*O7</f>
        <v>20.0935663697412</v>
      </c>
      <c r="Q7" s="48" t="n">
        <f aca="false">INDEX(Inputs!$H$5:$H$22,COUNTIF(Inputs!$H$5:$H$22,"&lt;"&amp;P7)+1)</f>
        <v>25</v>
      </c>
      <c r="R7" s="45" t="s">
        <v>408</v>
      </c>
      <c r="S7" s="12" t="str">
        <f aca="false">IF(C7&lt;&gt;"Motor","-",IF(F7&gt;=Inputs!$B$26,"Star-Delta","DOL"))</f>
        <v>Star-Delta</v>
      </c>
      <c r="T7" s="49" t="n">
        <v>30</v>
      </c>
      <c r="U7" s="36" t="n">
        <f aca="false">Q7/Inputs!$B$19</f>
        <v>28.735632183908</v>
      </c>
      <c r="V7" s="36" t="n">
        <f aca="false">INDEX(Inputs!$J$5:$J$19,COUNTIF(Inputs!$K$5:$K$19,"&lt;"&amp;U7)+1)</f>
        <v>2.5</v>
      </c>
      <c r="W7" s="48" t="n">
        <f aca="false">INDEX(Inputs!$K$5:$K$19,COUNTIF(Inputs!$K$5:$K$19,"&lt;"&amp;U7)+1)</f>
        <v>30</v>
      </c>
      <c r="X7" s="37" t="n">
        <f aca="false">INDEX(Inputs!$L$5:$L$19,COUNTIF(Inputs!$K$5:$K$19,"&lt;"&amp;U7)+1)*J7*T7/1000</f>
        <v>5.42526291983013</v>
      </c>
      <c r="Y7" s="50" t="n">
        <f aca="false">X7/IF(D7=3,Inputs!$B$6,Inputs!$B$8)</f>
        <v>0.0130729226983858</v>
      </c>
      <c r="Z7" s="12" t="str">
        <f aca="false">IF(Y7&lt;=IF(C7="Motor",Inputs!$B$20,Inputs!$B$21),"OK","EXCEEDS LIMIT - upsize cable")&amp;" - "&amp;"Counted as running: backwash may overlap with raw water pumping (conservative)"</f>
        <v>OK - Counted as running: backwash may overlap with raw water pumping (conservative)</v>
      </c>
    </row>
    <row r="8" customFormat="false" ht="15" hidden="false" customHeight="true" outlineLevel="0" collapsed="false">
      <c r="A8" s="7" t="s">
        <v>412</v>
      </c>
      <c r="B8" s="7" t="s">
        <v>369</v>
      </c>
      <c r="C8" s="45" t="s">
        <v>406</v>
      </c>
      <c r="D8" s="13" t="n">
        <v>3</v>
      </c>
      <c r="E8" s="13" t="n">
        <v>1</v>
      </c>
      <c r="F8" s="22" t="n">
        <f aca="false">'Pump Sizing'!M8</f>
        <v>5.5</v>
      </c>
      <c r="G8" s="37" t="n">
        <f aca="false">E8*F8</f>
        <v>5.5</v>
      </c>
      <c r="H8" s="22" t="n">
        <f aca="false">IF(C8="Motor",Inputs!$B$9,Inputs!$B$10)</f>
        <v>0.85</v>
      </c>
      <c r="I8" s="46" t="n">
        <f aca="false">IF(C8="Motor",Inputs!$B$11,1)</f>
        <v>0.896</v>
      </c>
      <c r="J8" s="36" t="n">
        <f aca="false">IF(D8=3,G8*1000/(SQRT(3)*Inputs!$B$6*H8*I8),G8*1000/(Inputs!$B$8*H8*I8))</f>
        <v>10.0467831848706</v>
      </c>
      <c r="K8" s="45" t="s">
        <v>410</v>
      </c>
      <c r="L8" s="34" t="n">
        <v>1</v>
      </c>
      <c r="M8" s="37" t="n">
        <f aca="false">IF(K8="Y",G8*L8/I8,0)</f>
        <v>0</v>
      </c>
      <c r="N8" s="37" t="n">
        <f aca="false">M8/H8</f>
        <v>0</v>
      </c>
      <c r="O8" s="22" t="n">
        <f aca="false">IF(C8="Motor",Inputs!$B$17,Inputs!$B$18)</f>
        <v>2</v>
      </c>
      <c r="P8" s="36" t="n">
        <f aca="false">J8*O8</f>
        <v>20.0935663697412</v>
      </c>
      <c r="Q8" s="48" t="n">
        <f aca="false">INDEX(Inputs!$H$5:$H$22,COUNTIF(Inputs!$H$5:$H$22,"&lt;"&amp;P8)+1)</f>
        <v>25</v>
      </c>
      <c r="R8" s="45" t="s">
        <v>408</v>
      </c>
      <c r="S8" s="12" t="str">
        <f aca="false">IF(C8&lt;&gt;"Motor","-",IF(F8&gt;=Inputs!$B$26,"Star-Delta","DOL"))</f>
        <v>Star-Delta</v>
      </c>
      <c r="T8" s="49" t="n">
        <v>30</v>
      </c>
      <c r="U8" s="36" t="n">
        <f aca="false">Q8/Inputs!$B$19</f>
        <v>28.735632183908</v>
      </c>
      <c r="V8" s="36" t="n">
        <f aca="false">INDEX(Inputs!$J$5:$J$19,COUNTIF(Inputs!$K$5:$K$19,"&lt;"&amp;U8)+1)</f>
        <v>2.5</v>
      </c>
      <c r="W8" s="48" t="n">
        <f aca="false">INDEX(Inputs!$K$5:$K$19,COUNTIF(Inputs!$K$5:$K$19,"&lt;"&amp;U8)+1)</f>
        <v>30</v>
      </c>
      <c r="X8" s="37" t="n">
        <f aca="false">INDEX(Inputs!$L$5:$L$19,COUNTIF(Inputs!$K$5:$K$19,"&lt;"&amp;U8)+1)*J8*T8/1000</f>
        <v>5.42526291983013</v>
      </c>
      <c r="Y8" s="50" t="n">
        <f aca="false">X8/IF(D8=3,Inputs!$B$6,Inputs!$B$8)</f>
        <v>0.0130729226983858</v>
      </c>
      <c r="Z8" s="12" t="str">
        <f aca="false">IF(Y8&lt;=IF(C8="Motor",Inputs!$B$20,Inputs!$B$21),"OK","EXCEEDS LIMIT - upsize cable")&amp;" - "&amp;"Standby - interlocked with MCC-3"</f>
        <v>OK - Standby - interlocked with MCC-3</v>
      </c>
    </row>
    <row r="9" customFormat="false" ht="15" hidden="false" customHeight="true" outlineLevel="0" collapsed="false">
      <c r="A9" s="7" t="s">
        <v>413</v>
      </c>
      <c r="B9" s="7" t="s">
        <v>86</v>
      </c>
      <c r="C9" s="45" t="s">
        <v>406</v>
      </c>
      <c r="D9" s="13" t="n">
        <v>3</v>
      </c>
      <c r="E9" s="13" t="n">
        <v>1</v>
      </c>
      <c r="F9" s="22" t="n">
        <f aca="false">'Pump Sizing'!M9</f>
        <v>5.5</v>
      </c>
      <c r="G9" s="37" t="n">
        <f aca="false">E9*F9</f>
        <v>5.5</v>
      </c>
      <c r="H9" s="22" t="n">
        <f aca="false">IF(C9="Motor",Inputs!$B$9,Inputs!$B$10)</f>
        <v>0.85</v>
      </c>
      <c r="I9" s="46" t="n">
        <f aca="false">IF(C9="Motor",Inputs!$B$11,1)</f>
        <v>0.896</v>
      </c>
      <c r="J9" s="36" t="n">
        <f aca="false">IF(D9=3,G9*1000/(SQRT(3)*Inputs!$B$6*H9*I9),G9*1000/(Inputs!$B$8*H9*I9))</f>
        <v>10.0467831848706</v>
      </c>
      <c r="K9" s="45" t="s">
        <v>407</v>
      </c>
      <c r="L9" s="34" t="n">
        <v>1</v>
      </c>
      <c r="M9" s="37" t="n">
        <f aca="false">IF(K9="Y",G9*L9/I9,0)</f>
        <v>6.13839285714286</v>
      </c>
      <c r="N9" s="37" t="n">
        <f aca="false">M9/H9</f>
        <v>7.22163865546218</v>
      </c>
      <c r="O9" s="22" t="n">
        <f aca="false">IF(C9="Motor",Inputs!$B$17,Inputs!$B$18)</f>
        <v>2</v>
      </c>
      <c r="P9" s="36" t="n">
        <f aca="false">J9*O9</f>
        <v>20.0935663697412</v>
      </c>
      <c r="Q9" s="48" t="n">
        <f aca="false">INDEX(Inputs!$H$5:$H$22,COUNTIF(Inputs!$H$5:$H$22,"&lt;"&amp;P9)+1)</f>
        <v>25</v>
      </c>
      <c r="R9" s="45" t="s">
        <v>408</v>
      </c>
      <c r="S9" s="12" t="str">
        <f aca="false">IF(C9&lt;&gt;"Motor","-",IF(F9&gt;=Inputs!$B$26,"Star-Delta","DOL"))</f>
        <v>Star-Delta</v>
      </c>
      <c r="T9" s="49" t="n">
        <v>40</v>
      </c>
      <c r="U9" s="36" t="n">
        <f aca="false">Q9/Inputs!$B$19</f>
        <v>28.735632183908</v>
      </c>
      <c r="V9" s="36" t="n">
        <f aca="false">INDEX(Inputs!$J$5:$J$19,COUNTIF(Inputs!$K$5:$K$19,"&lt;"&amp;U9)+1)</f>
        <v>2.5</v>
      </c>
      <c r="W9" s="48" t="n">
        <f aca="false">INDEX(Inputs!$K$5:$K$19,COUNTIF(Inputs!$K$5:$K$19,"&lt;"&amp;U9)+1)</f>
        <v>30</v>
      </c>
      <c r="X9" s="37" t="n">
        <f aca="false">INDEX(Inputs!$L$5:$L$19,COUNTIF(Inputs!$K$5:$K$19,"&lt;"&amp;U9)+1)*J9*T9/1000</f>
        <v>7.23368389310683</v>
      </c>
      <c r="Y9" s="50" t="n">
        <f aca="false">X9/IF(D9=3,Inputs!$B$6,Inputs!$B$8)</f>
        <v>0.0174305635978478</v>
      </c>
      <c r="Z9" s="12" t="str">
        <f aca="false">IF(Y9&lt;=IF(C9="Motor",Inputs!$B$20,Inputs!$B$21),"OK","EXCEEDS LIMIT - upsize cable")&amp;" - "&amp;"Longest run, to elevated tank side of shelter"</f>
        <v>OK - Longest run, to elevated tank side of shelter</v>
      </c>
    </row>
    <row r="10" customFormat="false" ht="23.25" hidden="false" customHeight="true" outlineLevel="0" collapsed="false">
      <c r="A10" s="7" t="s">
        <v>414</v>
      </c>
      <c r="B10" s="7" t="s">
        <v>415</v>
      </c>
      <c r="C10" s="45" t="s">
        <v>415</v>
      </c>
      <c r="D10" s="13" t="n">
        <v>1</v>
      </c>
      <c r="E10" s="13" t="n">
        <v>1</v>
      </c>
      <c r="F10" s="33" t="n">
        <v>1.5</v>
      </c>
      <c r="G10" s="37" t="n">
        <f aca="false">E10*F10</f>
        <v>1.5</v>
      </c>
      <c r="H10" s="22" t="n">
        <f aca="false">IF(C10="Motor",Inputs!$B$9,Inputs!$B$10)</f>
        <v>0.9</v>
      </c>
      <c r="I10" s="46" t="n">
        <f aca="false">IF(C10="Motor",Inputs!$B$11,1)</f>
        <v>1</v>
      </c>
      <c r="J10" s="36" t="n">
        <f aca="false">IF(D10=3,G10*1000/(SQRT(3)*Inputs!$B$6*H10*I10),G10*1000/(Inputs!$B$8*H10*I10))</f>
        <v>6.94444444444445</v>
      </c>
      <c r="K10" s="45" t="s">
        <v>407</v>
      </c>
      <c r="L10" s="22" t="n">
        <f aca="false">Inputs!$B$22</f>
        <v>0.8</v>
      </c>
      <c r="M10" s="37" t="n">
        <f aca="false">IF(K10="Y",G10*L10/I10,0)</f>
        <v>1.2</v>
      </c>
      <c r="N10" s="37" t="n">
        <f aca="false">M10/H10</f>
        <v>1.33333333333333</v>
      </c>
      <c r="O10" s="22" t="n">
        <f aca="false">IF(C10="Motor",Inputs!$B$17,Inputs!$B$18)</f>
        <v>1.25</v>
      </c>
      <c r="P10" s="36" t="n">
        <f aca="false">J10*O10</f>
        <v>8.68055555555556</v>
      </c>
      <c r="Q10" s="48" t="n">
        <f aca="false">INDEX(Inputs!$H$5:$H$22,COUNTIF(Inputs!$H$5:$H$22,"&lt;"&amp;P10)+1)</f>
        <v>10</v>
      </c>
      <c r="R10" s="45" t="s">
        <v>416</v>
      </c>
      <c r="S10" s="12" t="str">
        <f aca="false">IF(C10&lt;&gt;"Motor","-",IF(F10&gt;=Inputs!$B$26,"Star-Delta","DOL"))</f>
        <v>-</v>
      </c>
      <c r="T10" s="49" t="n">
        <v>25</v>
      </c>
      <c r="U10" s="36" t="n">
        <f aca="false">Q10/Inputs!$B$19</f>
        <v>11.4942528735632</v>
      </c>
      <c r="V10" s="36" t="n">
        <f aca="false">INDEX(Inputs!$J$5:$J$19,COUNTIF(Inputs!$K$5:$K$19,"&lt;"&amp;U10)+1)</f>
        <v>1.5</v>
      </c>
      <c r="W10" s="48" t="n">
        <f aca="false">INDEX(Inputs!$K$5:$K$19,COUNTIF(Inputs!$K$5:$K$19,"&lt;"&amp;U10)+1)</f>
        <v>22</v>
      </c>
      <c r="X10" s="37" t="n">
        <f aca="false">INDEX(Inputs!$L$5:$L$19,COUNTIF(Inputs!$K$5:$K$19,"&lt;"&amp;U10)+1)*J10*T10/1000</f>
        <v>5.03472222222222</v>
      </c>
      <c r="Y10" s="50" t="n">
        <f aca="false">X10/IF(D10=3,Inputs!$B$6,Inputs!$B$8)</f>
        <v>0.0209780092592593</v>
      </c>
      <c r="Z10" s="12" t="str">
        <f aca="false">IF(Y10&lt;=IF(C10="Motor",Inputs!$B$20,Inputs!$B$21),"OK","EXCEEDS LIMIT - upsize cable")&amp;" - "&amp;"Assumed 1.5 kW LED lighting (approx. 11 W/m2 x 132 m2). Drawing: MCB 1P 10A"</f>
        <v>OK - Assumed 1.5 kW LED lighting (approx. 11 W/m2 x 132 m2). Drawing: MCB 1P 10A</v>
      </c>
    </row>
    <row r="11" customFormat="false" ht="23.25" hidden="false" customHeight="true" outlineLevel="0" collapsed="false">
      <c r="A11" s="7" t="s">
        <v>417</v>
      </c>
      <c r="B11" s="7" t="s">
        <v>418</v>
      </c>
      <c r="C11" s="45" t="s">
        <v>419</v>
      </c>
      <c r="D11" s="13" t="n">
        <v>1</v>
      </c>
      <c r="E11" s="13" t="n">
        <v>1</v>
      </c>
      <c r="F11" s="33" t="n">
        <v>2</v>
      </c>
      <c r="G11" s="37" t="n">
        <f aca="false">E11*F11</f>
        <v>2</v>
      </c>
      <c r="H11" s="22" t="n">
        <f aca="false">IF(C11="Motor",Inputs!$B$9,Inputs!$B$10)</f>
        <v>0.9</v>
      </c>
      <c r="I11" s="46" t="n">
        <f aca="false">IF(C11="Motor",Inputs!$B$11,1)</f>
        <v>1</v>
      </c>
      <c r="J11" s="36" t="n">
        <f aca="false">IF(D11=3,G11*1000/(SQRT(3)*Inputs!$B$6*H11*I11),G11*1000/(Inputs!$B$8*H11*I11))</f>
        <v>9.25925925925926</v>
      </c>
      <c r="K11" s="45" t="s">
        <v>407</v>
      </c>
      <c r="L11" s="22" t="n">
        <f aca="false">Inputs!$B$22</f>
        <v>0.8</v>
      </c>
      <c r="M11" s="37" t="n">
        <f aca="false">IF(K11="Y",G11*L11/I11,0)</f>
        <v>1.6</v>
      </c>
      <c r="N11" s="37" t="n">
        <f aca="false">M11/H11</f>
        <v>1.77777777777778</v>
      </c>
      <c r="O11" s="22" t="n">
        <f aca="false">IF(C11="Motor",Inputs!$B$17,Inputs!$B$18)</f>
        <v>1.25</v>
      </c>
      <c r="P11" s="36" t="n">
        <f aca="false">J11*O11</f>
        <v>11.5740740740741</v>
      </c>
      <c r="Q11" s="48" t="n">
        <f aca="false">INDEX(Inputs!$H$5:$H$22,COUNTIF(Inputs!$H$5:$H$22,"&lt;"&amp;P11)+1)</f>
        <v>16</v>
      </c>
      <c r="R11" s="45" t="s">
        <v>416</v>
      </c>
      <c r="S11" s="12" t="str">
        <f aca="false">IF(C11&lt;&gt;"Motor","-",IF(F11&gt;=Inputs!$B$26,"Star-Delta","DOL"))</f>
        <v>-</v>
      </c>
      <c r="T11" s="49" t="n">
        <v>25</v>
      </c>
      <c r="U11" s="36" t="n">
        <f aca="false">Q11/Inputs!$B$19</f>
        <v>18.3908045977012</v>
      </c>
      <c r="V11" s="36" t="n">
        <f aca="false">INDEX(Inputs!$J$5:$J$19,COUNTIF(Inputs!$K$5:$K$19,"&lt;"&amp;U11)+1)</f>
        <v>1.5</v>
      </c>
      <c r="W11" s="48" t="n">
        <f aca="false">INDEX(Inputs!$K$5:$K$19,COUNTIF(Inputs!$K$5:$K$19,"&lt;"&amp;U11)+1)</f>
        <v>22</v>
      </c>
      <c r="X11" s="37" t="n">
        <f aca="false">INDEX(Inputs!$L$5:$L$19,COUNTIF(Inputs!$K$5:$K$19,"&lt;"&amp;U11)+1)*J11*T11/1000</f>
        <v>6.71296296296296</v>
      </c>
      <c r="Y11" s="50" t="n">
        <f aca="false">X11/IF(D11=3,Inputs!$B$6,Inputs!$B$8)</f>
        <v>0.0279706790123457</v>
      </c>
      <c r="Z11" s="12" t="str">
        <f aca="false">IF(Y11&lt;=IF(C11="Motor",Inputs!$B$20,Inputs!$B$21),"OK","EXCEEDS LIMIT - upsize cable")&amp;" - "&amp;"Assumed 2.0 kW allowance. Drawing: MCB 1P 10A"</f>
        <v>OK - Assumed 2.0 kW allowance. Drawing: MCB 1P 10A</v>
      </c>
    </row>
    <row r="12" customFormat="false" ht="23.25" hidden="false" customHeight="true" outlineLevel="0" collapsed="false">
      <c r="A12" s="7" t="s">
        <v>420</v>
      </c>
      <c r="B12" s="7" t="s">
        <v>421</v>
      </c>
      <c r="C12" s="45" t="s">
        <v>406</v>
      </c>
      <c r="D12" s="13" t="n">
        <v>1</v>
      </c>
      <c r="E12" s="13" t="n">
        <v>4</v>
      </c>
      <c r="F12" s="33" t="n">
        <v>0.12</v>
      </c>
      <c r="G12" s="37" t="n">
        <f aca="false">E12*F12</f>
        <v>0.48</v>
      </c>
      <c r="H12" s="22" t="n">
        <f aca="false">IF(C12="Motor",Inputs!$B$9,Inputs!$B$10)</f>
        <v>0.85</v>
      </c>
      <c r="I12" s="46" t="n">
        <f aca="false">IF(C12="Motor",Inputs!$B$11,1)</f>
        <v>0.896</v>
      </c>
      <c r="J12" s="36" t="n">
        <f aca="false">IF(D12=3,G12*1000/(SQRT(3)*Inputs!$B$6*H12*I12),G12*1000/(Inputs!$B$8*H12*I12))</f>
        <v>2.62605042016807</v>
      </c>
      <c r="K12" s="45" t="s">
        <v>407</v>
      </c>
      <c r="L12" s="34" t="n">
        <v>1</v>
      </c>
      <c r="M12" s="37" t="n">
        <f aca="false">IF(K12="Y",G12*L12/I12,0)</f>
        <v>0.535714285714286</v>
      </c>
      <c r="N12" s="37" t="n">
        <f aca="false">M12/H12</f>
        <v>0.630252100840336</v>
      </c>
      <c r="O12" s="22" t="n">
        <f aca="false">IF(C12="Motor",Inputs!$B$17,Inputs!$B$18)</f>
        <v>2</v>
      </c>
      <c r="P12" s="36" t="n">
        <f aca="false">J12*O12</f>
        <v>5.25210084033613</v>
      </c>
      <c r="Q12" s="48" t="n">
        <f aca="false">INDEX(Inputs!$H$5:$H$22,COUNTIF(Inputs!$H$5:$H$22,"&lt;"&amp;P12)+1)</f>
        <v>6</v>
      </c>
      <c r="R12" s="45" t="s">
        <v>416</v>
      </c>
      <c r="S12" s="12" t="str">
        <f aca="false">IF(C12&lt;&gt;"Motor","-",IF(F12&gt;=Inputs!$B$26,"Star-Delta","DOL"))</f>
        <v>DOL</v>
      </c>
      <c r="T12" s="49" t="n">
        <v>20</v>
      </c>
      <c r="U12" s="36" t="n">
        <f aca="false">Q12/Inputs!$B$19</f>
        <v>6.89655172413793</v>
      </c>
      <c r="V12" s="36" t="n">
        <f aca="false">INDEX(Inputs!$J$5:$J$19,COUNTIF(Inputs!$K$5:$K$19,"&lt;"&amp;U12)+1)</f>
        <v>1.5</v>
      </c>
      <c r="W12" s="48" t="n">
        <f aca="false">INDEX(Inputs!$K$5:$K$19,COUNTIF(Inputs!$K$5:$K$19,"&lt;"&amp;U12)+1)</f>
        <v>22</v>
      </c>
      <c r="X12" s="37" t="n">
        <f aca="false">INDEX(Inputs!$L$5:$L$19,COUNTIF(Inputs!$K$5:$K$19,"&lt;"&amp;U12)+1)*J12*T12/1000</f>
        <v>1.52310924369748</v>
      </c>
      <c r="Y12" s="50" t="n">
        <f aca="false">X12/IF(D12=3,Inputs!$B$6,Inputs!$B$8)</f>
        <v>0.00634628851540616</v>
      </c>
      <c r="Z12" s="12" t="str">
        <f aca="false">IF(Y12&lt;=IF(C12="Motor",Inputs!$B$20,Inputs!$B$21),"OK","EXCEEDS LIMIT - upsize cable")&amp;" - "&amp;"Assumed 0.12 kW each diaphragm dosing pump. Drawing: MCB 1P 6A"</f>
        <v>OK - Assumed 0.12 kW each diaphragm dosing pump. Drawing: MCB 1P 6A</v>
      </c>
    </row>
    <row r="13" customFormat="false" ht="23.25" hidden="false" customHeight="true" outlineLevel="0" collapsed="false">
      <c r="A13" s="7" t="s">
        <v>422</v>
      </c>
      <c r="B13" s="7" t="s">
        <v>423</v>
      </c>
      <c r="C13" s="45" t="s">
        <v>406</v>
      </c>
      <c r="D13" s="13" t="n">
        <v>1</v>
      </c>
      <c r="E13" s="13" t="n">
        <v>4</v>
      </c>
      <c r="F13" s="33" t="n">
        <v>0.37</v>
      </c>
      <c r="G13" s="37" t="n">
        <f aca="false">E13*F13</f>
        <v>1.48</v>
      </c>
      <c r="H13" s="22" t="n">
        <f aca="false">IF(C13="Motor",Inputs!$B$9,Inputs!$B$10)</f>
        <v>0.85</v>
      </c>
      <c r="I13" s="46" t="n">
        <f aca="false">IF(C13="Motor",Inputs!$B$11,1)</f>
        <v>0.896</v>
      </c>
      <c r="J13" s="36" t="n">
        <f aca="false">IF(D13=3,G13*1000/(SQRT(3)*Inputs!$B$6*H13*I13),G13*1000/(Inputs!$B$8*H13*I13))</f>
        <v>8.09698879551821</v>
      </c>
      <c r="K13" s="45" t="s">
        <v>407</v>
      </c>
      <c r="L13" s="34" t="n">
        <v>1</v>
      </c>
      <c r="M13" s="37" t="n">
        <f aca="false">IF(K13="Y",G13*L13/I13,0)</f>
        <v>1.65178571428571</v>
      </c>
      <c r="N13" s="37" t="n">
        <f aca="false">M13/H13</f>
        <v>1.94327731092437</v>
      </c>
      <c r="O13" s="22" t="n">
        <f aca="false">IF(C13="Motor",Inputs!$B$17,Inputs!$B$18)</f>
        <v>2</v>
      </c>
      <c r="P13" s="36" t="n">
        <f aca="false">J13*O13</f>
        <v>16.1939775910364</v>
      </c>
      <c r="Q13" s="48" t="n">
        <f aca="false">INDEX(Inputs!$H$5:$H$22,COUNTIF(Inputs!$H$5:$H$22,"&lt;"&amp;P13)+1)</f>
        <v>20</v>
      </c>
      <c r="R13" s="45" t="s">
        <v>416</v>
      </c>
      <c r="S13" s="12" t="str">
        <f aca="false">IF(C13&lt;&gt;"Motor","-",IF(F13&gt;=Inputs!$B$26,"Star-Delta","DOL"))</f>
        <v>DOL</v>
      </c>
      <c r="T13" s="49" t="n">
        <v>20</v>
      </c>
      <c r="U13" s="36" t="n">
        <f aca="false">Q13/Inputs!$B$19</f>
        <v>22.9885057471264</v>
      </c>
      <c r="V13" s="36" t="n">
        <f aca="false">INDEX(Inputs!$J$5:$J$19,COUNTIF(Inputs!$K$5:$K$19,"&lt;"&amp;U13)+1)</f>
        <v>2.5</v>
      </c>
      <c r="W13" s="48" t="n">
        <f aca="false">INDEX(Inputs!$K$5:$K$19,COUNTIF(Inputs!$K$5:$K$19,"&lt;"&amp;U13)+1)</f>
        <v>30</v>
      </c>
      <c r="X13" s="37" t="n">
        <f aca="false">INDEX(Inputs!$L$5:$L$19,COUNTIF(Inputs!$K$5:$K$19,"&lt;"&amp;U13)+1)*J13*T13/1000</f>
        <v>2.91491596638655</v>
      </c>
      <c r="Y13" s="50" t="n">
        <f aca="false">X13/IF(D13=3,Inputs!$B$6,Inputs!$B$8)</f>
        <v>0.0121454831932773</v>
      </c>
      <c r="Z13" s="12" t="str">
        <f aca="false">IF(Y13&lt;=IF(C13="Motor",Inputs!$B$20,Inputs!$B$21),"OK","EXCEEDS LIMIT - upsize cable")&amp;" - "&amp;"Assumed 0.37 kW each. Drawing: MCB 1P 6A"</f>
        <v>OK - Assumed 0.37 kW each. Drawing: MCB 1P 6A</v>
      </c>
    </row>
    <row r="14" customFormat="false" ht="23.25" hidden="false" customHeight="true" outlineLevel="0" collapsed="false">
      <c r="A14" s="7" t="s">
        <v>424</v>
      </c>
      <c r="B14" s="7" t="s">
        <v>425</v>
      </c>
      <c r="C14" s="45" t="s">
        <v>419</v>
      </c>
      <c r="D14" s="13" t="n">
        <v>1</v>
      </c>
      <c r="E14" s="13" t="n">
        <v>1</v>
      </c>
      <c r="F14" s="33" t="n">
        <v>0.5</v>
      </c>
      <c r="G14" s="37" t="n">
        <f aca="false">E14*F14</f>
        <v>0.5</v>
      </c>
      <c r="H14" s="22" t="n">
        <f aca="false">IF(C14="Motor",Inputs!$B$9,Inputs!$B$10)</f>
        <v>0.9</v>
      </c>
      <c r="I14" s="46" t="n">
        <f aca="false">IF(C14="Motor",Inputs!$B$11,1)</f>
        <v>1</v>
      </c>
      <c r="J14" s="36" t="n">
        <f aca="false">IF(D14=3,G14*1000/(SQRT(3)*Inputs!$B$6*H14*I14),G14*1000/(Inputs!$B$8*H14*I14))</f>
        <v>2.31481481481482</v>
      </c>
      <c r="K14" s="45" t="s">
        <v>407</v>
      </c>
      <c r="L14" s="34" t="n">
        <v>1</v>
      </c>
      <c r="M14" s="37" t="n">
        <f aca="false">IF(K14="Y",G14*L14/I14,0)</f>
        <v>0.5</v>
      </c>
      <c r="N14" s="37" t="n">
        <f aca="false">M14/H14</f>
        <v>0.555555555555556</v>
      </c>
      <c r="O14" s="22" t="n">
        <f aca="false">IF(C14="Motor",Inputs!$B$17,Inputs!$B$18)</f>
        <v>1.25</v>
      </c>
      <c r="P14" s="36" t="n">
        <f aca="false">J14*O14</f>
        <v>2.89351851851852</v>
      </c>
      <c r="Q14" s="48" t="n">
        <f aca="false">INDEX(Inputs!$H$5:$H$22,COUNTIF(Inputs!$H$5:$H$22,"&lt;"&amp;P14)+1)</f>
        <v>6</v>
      </c>
      <c r="R14" s="45" t="s">
        <v>416</v>
      </c>
      <c r="S14" s="12" t="str">
        <f aca="false">IF(C14&lt;&gt;"Motor","-",IF(F14&gt;=Inputs!$B$26,"Star-Delta","DOL"))</f>
        <v>-</v>
      </c>
      <c r="T14" s="49" t="n">
        <v>10</v>
      </c>
      <c r="U14" s="36" t="n">
        <f aca="false">Q14/Inputs!$B$19</f>
        <v>6.89655172413793</v>
      </c>
      <c r="V14" s="36" t="n">
        <f aca="false">INDEX(Inputs!$J$5:$J$19,COUNTIF(Inputs!$K$5:$K$19,"&lt;"&amp;U14)+1)</f>
        <v>1.5</v>
      </c>
      <c r="W14" s="48" t="n">
        <f aca="false">INDEX(Inputs!$K$5:$K$19,COUNTIF(Inputs!$K$5:$K$19,"&lt;"&amp;U14)+1)</f>
        <v>22</v>
      </c>
      <c r="X14" s="37" t="n">
        <f aca="false">INDEX(Inputs!$L$5:$L$19,COUNTIF(Inputs!$K$5:$K$19,"&lt;"&amp;U14)+1)*J14*T14/1000</f>
        <v>0.671296296296296</v>
      </c>
      <c r="Y14" s="50" t="n">
        <f aca="false">X14/IF(D14=3,Inputs!$B$6,Inputs!$B$8)</f>
        <v>0.00279706790123457</v>
      </c>
      <c r="Z14" s="12" t="str">
        <f aca="false">IF(Y14&lt;=IF(C14="Motor",Inputs!$B$20,Inputs!$B$21),"OK","EXCEEDS LIMIT - upsize cable")&amp;" - "&amp;"Not shown on drawing - added as assumed load for auto operation"</f>
        <v>OK - Not shown on drawing - added as assumed load for auto operation</v>
      </c>
    </row>
    <row r="15" customFormat="false" ht="23.25" hidden="false" customHeight="true" outlineLevel="0" collapsed="false">
      <c r="A15" s="7" t="s">
        <v>426</v>
      </c>
      <c r="B15" s="7" t="s">
        <v>427</v>
      </c>
      <c r="C15" s="45" t="s">
        <v>419</v>
      </c>
      <c r="D15" s="13" t="n">
        <v>1</v>
      </c>
      <c r="E15" s="13" t="n">
        <v>1</v>
      </c>
      <c r="F15" s="33" t="n">
        <v>0.5</v>
      </c>
      <c r="G15" s="37" t="n">
        <f aca="false">E15*F15</f>
        <v>0.5</v>
      </c>
      <c r="H15" s="22" t="n">
        <f aca="false">IF(C15="Motor",Inputs!$B$9,Inputs!$B$10)</f>
        <v>0.9</v>
      </c>
      <c r="I15" s="46" t="n">
        <f aca="false">IF(C15="Motor",Inputs!$B$11,1)</f>
        <v>1</v>
      </c>
      <c r="J15" s="36" t="n">
        <f aca="false">IF(D15=3,G15*1000/(SQRT(3)*Inputs!$B$6*H15*I15),G15*1000/(Inputs!$B$8*H15*I15))</f>
        <v>2.31481481481482</v>
      </c>
      <c r="K15" s="45" t="s">
        <v>410</v>
      </c>
      <c r="L15" s="34" t="n">
        <v>1</v>
      </c>
      <c r="M15" s="37" t="n">
        <f aca="false">IF(K15="Y",G15*L15/I15,0)</f>
        <v>0</v>
      </c>
      <c r="N15" s="37" t="n">
        <f aca="false">M15/H15</f>
        <v>0</v>
      </c>
      <c r="O15" s="22" t="n">
        <f aca="false">IF(C15="Motor",Inputs!$B$17,Inputs!$B$18)</f>
        <v>1.25</v>
      </c>
      <c r="P15" s="36" t="n">
        <f aca="false">J15*O15</f>
        <v>2.89351851851852</v>
      </c>
      <c r="Q15" s="48" t="n">
        <f aca="false">INDEX(Inputs!$H$5:$H$22,COUNTIF(Inputs!$H$5:$H$22,"&lt;"&amp;P15)+1)</f>
        <v>6</v>
      </c>
      <c r="R15" s="45" t="s">
        <v>416</v>
      </c>
      <c r="S15" s="12" t="str">
        <f aca="false">IF(C15&lt;&gt;"Motor","-",IF(F15&gt;=Inputs!$B$26,"Star-Delta","DOL"))</f>
        <v>-</v>
      </c>
      <c r="T15" s="49" t="n">
        <v>20</v>
      </c>
      <c r="U15" s="36" t="n">
        <f aca="false">Q15/Inputs!$B$19</f>
        <v>6.89655172413793</v>
      </c>
      <c r="V15" s="36" t="n">
        <f aca="false">INDEX(Inputs!$J$5:$J$19,COUNTIF(Inputs!$K$5:$K$19,"&lt;"&amp;U15)+1)</f>
        <v>1.5</v>
      </c>
      <c r="W15" s="48" t="n">
        <f aca="false">INDEX(Inputs!$K$5:$K$19,COUNTIF(Inputs!$K$5:$K$19,"&lt;"&amp;U15)+1)</f>
        <v>22</v>
      </c>
      <c r="X15" s="37" t="n">
        <f aca="false">INDEX(Inputs!$L$5:$L$19,COUNTIF(Inputs!$K$5:$K$19,"&lt;"&amp;U15)+1)*J15*T15/1000</f>
        <v>1.34259259259259</v>
      </c>
      <c r="Y15" s="50" t="n">
        <f aca="false">X15/IF(D15=3,Inputs!$B$6,Inputs!$B$8)</f>
        <v>0.00559413580246914</v>
      </c>
      <c r="Z15" s="12" t="str">
        <f aca="false">IF(Y15&lt;=IF(C15="Motor",Inputs!$B$20,Inputs!$B$21),"OK","EXCEEDS LIMIT - upsize cable")&amp;" - "&amp;"Spare way. Drawing: MCB 1P 6A"</f>
        <v>OK - Spare way. Drawing: MCB 1P 6A</v>
      </c>
    </row>
    <row r="16" customFormat="false" ht="15" hidden="false" customHeight="true" outlineLevel="0" collapsed="false">
      <c r="B16" s="18" t="s">
        <v>428</v>
      </c>
      <c r="G16" s="47" t="n">
        <f aca="false">SUM(G5:G15)</f>
        <v>33.96</v>
      </c>
      <c r="J16" s="20" t="n">
        <f aca="false">N16*1000/(SQRT(3)*Inputs!$B$6)</f>
        <v>38.821744459861</v>
      </c>
      <c r="M16" s="47" t="n">
        <f aca="false">SUM(M5:M15)</f>
        <v>23.9026785714286</v>
      </c>
      <c r="N16" s="47" t="n">
        <f aca="false">SUM(N5:N15)</f>
        <v>27.9051120448179</v>
      </c>
    </row>
    <row r="18" customFormat="false" ht="15" hidden="false" customHeight="true" outlineLevel="0" collapsed="false">
      <c r="A18" s="24" t="s">
        <v>429</v>
      </c>
    </row>
    <row r="19" customFormat="false" ht="15" hidden="false" customHeight="true" outlineLevel="0" collapsed="false">
      <c r="A19" s="25" t="s">
        <v>430</v>
      </c>
    </row>
    <row r="20" customFormat="false" ht="15" hidden="false" customHeight="true" outlineLevel="0" collapsed="false">
      <c r="A20" s="25" t="s">
        <v>431</v>
      </c>
    </row>
    <row r="21" customFormat="false" ht="15" hidden="false" customHeight="true" outlineLevel="0" collapsed="false">
      <c r="A21" s="25" t="s">
        <v>432</v>
      </c>
    </row>
    <row r="22" customFormat="false" ht="15" hidden="false" customHeight="true" outlineLevel="0" collapsed="false">
      <c r="A22" s="25" t="s">
        <v>433</v>
      </c>
    </row>
    <row r="23" customFormat="false" ht="15" hidden="false" customHeight="true" outlineLevel="0" collapsed="false">
      <c r="A23" s="25" t="s">
        <v>434</v>
      </c>
    </row>
    <row r="24" customFormat="false" ht="15" hidden="false" customHeight="true" outlineLevel="0" collapsed="false">
      <c r="A24" s="25" t="s">
        <v>435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5" min="2" style="0" width="7"/>
    <col collapsed="false" customWidth="true" hidden="false" outlineLevel="0" max="26" min="26" style="0" width="10"/>
  </cols>
  <sheetData>
    <row r="1" customFormat="false" ht="17.35" hidden="false" customHeight="false" outlineLevel="0" collapsed="false">
      <c r="A1" s="31" t="s">
        <v>436</v>
      </c>
    </row>
    <row r="2" customFormat="false" ht="15" hidden="false" customHeight="false" outlineLevel="0" collapsed="false">
      <c r="A2" s="32" t="s">
        <v>437</v>
      </c>
    </row>
    <row r="4" customFormat="false" ht="15" hidden="false" customHeight="false" outlineLevel="0" collapsed="false">
      <c r="A4" s="10" t="s">
        <v>438</v>
      </c>
      <c r="B4" s="11"/>
      <c r="C4" s="11"/>
      <c r="D4" s="11"/>
      <c r="E4" s="11"/>
      <c r="F4" s="11"/>
      <c r="G4" s="11"/>
      <c r="H4" s="11"/>
      <c r="I4" s="11"/>
      <c r="J4" s="11"/>
      <c r="K4" s="11"/>
      <c r="L4" s="11"/>
      <c r="M4" s="11"/>
      <c r="N4" s="11"/>
    </row>
    <row r="5" customFormat="false" ht="23.85" hidden="false" customHeight="true" outlineLevel="0" collapsed="false">
      <c r="B5" s="7" t="s">
        <v>439</v>
      </c>
      <c r="C5" s="46" t="n">
        <f aca="false">Inputs!$B$31</f>
        <v>0.509</v>
      </c>
      <c r="D5" s="7" t="s">
        <v>190</v>
      </c>
      <c r="E5" s="7" t="s">
        <v>440</v>
      </c>
      <c r="F5" s="7"/>
      <c r="G5" s="7"/>
      <c r="H5" s="7"/>
      <c r="I5" s="7"/>
      <c r="J5" s="7"/>
      <c r="K5" s="7"/>
      <c r="L5" s="7"/>
      <c r="M5" s="7"/>
      <c r="N5" s="7"/>
    </row>
    <row r="6" customFormat="false" ht="46.25" hidden="false" customHeight="true" outlineLevel="0" collapsed="false">
      <c r="B6" s="7" t="s">
        <v>441</v>
      </c>
      <c r="C6" s="26" t="n">
        <v>30</v>
      </c>
      <c r="D6" s="7" t="s">
        <v>442</v>
      </c>
      <c r="E6" s="7" t="s">
        <v>443</v>
      </c>
      <c r="F6" s="7"/>
      <c r="G6" s="7"/>
      <c r="H6" s="7"/>
      <c r="I6" s="7"/>
      <c r="J6" s="7"/>
      <c r="K6" s="7"/>
      <c r="L6" s="7"/>
      <c r="M6" s="7"/>
      <c r="N6" s="7"/>
    </row>
    <row r="7" customFormat="false" ht="46.25" hidden="false" customHeight="true" outlineLevel="0" collapsed="false">
      <c r="B7" s="7" t="s">
        <v>187</v>
      </c>
      <c r="C7" s="16" t="n">
        <f aca="false">Inputs!$B$30</f>
        <v>30</v>
      </c>
      <c r="D7" s="7" t="s">
        <v>188</v>
      </c>
      <c r="E7" s="7" t="s">
        <v>444</v>
      </c>
      <c r="F7" s="7"/>
      <c r="G7" s="7"/>
      <c r="H7" s="7"/>
      <c r="I7" s="7"/>
      <c r="J7" s="7"/>
      <c r="K7" s="7"/>
      <c r="L7" s="7"/>
      <c r="M7" s="7"/>
      <c r="N7" s="7"/>
    </row>
    <row r="8" customFormat="false" ht="35.05" hidden="false" customHeight="false" outlineLevel="0" collapsed="false">
      <c r="B8" s="7" t="s">
        <v>445</v>
      </c>
      <c r="C8" s="13" t="n">
        <v>12</v>
      </c>
      <c r="D8" s="7" t="s">
        <v>446</v>
      </c>
      <c r="E8" s="7"/>
      <c r="F8" s="7"/>
      <c r="G8" s="7"/>
      <c r="H8" s="7"/>
      <c r="I8" s="7"/>
      <c r="J8" s="7"/>
      <c r="K8" s="7"/>
      <c r="L8" s="7"/>
      <c r="M8" s="7"/>
      <c r="N8" s="7"/>
    </row>
    <row r="9" customFormat="false" ht="68.65" hidden="false" customHeight="true" outlineLevel="0" collapsed="false">
      <c r="B9" s="7" t="s">
        <v>447</v>
      </c>
      <c r="C9" s="17" t="n">
        <v>8</v>
      </c>
      <c r="D9" s="7" t="s">
        <v>311</v>
      </c>
      <c r="E9" s="7" t="s">
        <v>448</v>
      </c>
      <c r="F9" s="7"/>
      <c r="G9" s="7"/>
      <c r="H9" s="7"/>
      <c r="I9" s="7"/>
      <c r="J9" s="7"/>
      <c r="K9" s="7"/>
      <c r="L9" s="7"/>
      <c r="M9" s="7"/>
      <c r="N9" s="7"/>
    </row>
    <row r="10" customFormat="false" ht="57.45" hidden="false" customHeight="true" outlineLevel="0" collapsed="false">
      <c r="B10" s="7" t="s">
        <v>449</v>
      </c>
      <c r="C10" s="17" t="n">
        <v>18</v>
      </c>
      <c r="D10" s="7" t="s">
        <v>311</v>
      </c>
      <c r="E10" s="7" t="s">
        <v>450</v>
      </c>
      <c r="F10" s="7"/>
      <c r="G10" s="7"/>
      <c r="H10" s="7"/>
      <c r="I10" s="7"/>
      <c r="J10" s="7"/>
      <c r="K10" s="7"/>
      <c r="L10" s="7"/>
      <c r="M10" s="7"/>
      <c r="N10" s="7"/>
    </row>
    <row r="12" customFormat="false" ht="15" hidden="false" customHeight="false" outlineLevel="0" collapsed="false">
      <c r="A12" s="10" t="s">
        <v>451</v>
      </c>
      <c r="B12" s="11"/>
      <c r="C12" s="11"/>
      <c r="D12" s="11"/>
      <c r="E12" s="11"/>
      <c r="F12" s="11"/>
      <c r="G12" s="11"/>
      <c r="H12" s="11"/>
      <c r="I12" s="11"/>
      <c r="J12" s="11"/>
      <c r="K12" s="11"/>
      <c r="L12" s="11"/>
      <c r="M12" s="11"/>
      <c r="N12" s="11"/>
    </row>
    <row r="13" customFormat="false" ht="45" hidden="false" customHeight="true" outlineLevel="0" collapsed="false">
      <c r="A13" s="4" t="s">
        <v>383</v>
      </c>
      <c r="B13" s="4" t="s">
        <v>452</v>
      </c>
      <c r="C13" s="4" t="s">
        <v>453</v>
      </c>
      <c r="D13" s="4" t="s">
        <v>454</v>
      </c>
      <c r="E13" s="4" t="s">
        <v>455</v>
      </c>
      <c r="F13" s="4" t="s">
        <v>456</v>
      </c>
      <c r="G13" s="4" t="s">
        <v>457</v>
      </c>
      <c r="H13" s="4" t="s">
        <v>52</v>
      </c>
      <c r="I13" s="4" t="s">
        <v>41</v>
      </c>
      <c r="J13" s="4" t="s">
        <v>55</v>
      </c>
      <c r="K13" s="4" t="s">
        <v>458</v>
      </c>
      <c r="L13" s="4" t="s">
        <v>459</v>
      </c>
      <c r="M13" s="4" t="s">
        <v>460</v>
      </c>
      <c r="N13" s="4" t="s">
        <v>461</v>
      </c>
    </row>
    <row r="14" customFormat="false" ht="202.95" hidden="false" customHeight="false" outlineLevel="0" collapsed="false">
      <c r="A14" s="7" t="s">
        <v>405</v>
      </c>
      <c r="B14" s="7" t="s">
        <v>462</v>
      </c>
      <c r="C14" s="22" t="n">
        <f aca="false">'Load Schedule'!F5</f>
        <v>5.5</v>
      </c>
      <c r="D14" s="13" t="n">
        <v>1</v>
      </c>
      <c r="E14" s="7" t="s">
        <v>45</v>
      </c>
      <c r="F14" s="22" t="n">
        <f aca="false">'Pump Hydraulics'!B46/Inputs!$B$11</f>
        <v>0.956426302716139</v>
      </c>
      <c r="G14" s="22" t="n">
        <f aca="false">'Pump Hydraulics'!B56</f>
        <v>6</v>
      </c>
      <c r="H14" s="37" t="n">
        <f aca="false">F14*G14</f>
        <v>5.73855781629684</v>
      </c>
      <c r="I14" s="51" t="n">
        <f aca="false">H14*$C$7</f>
        <v>172.156734488905</v>
      </c>
      <c r="J14" s="51" t="n">
        <f aca="false">I14*$C$8</f>
        <v>2065.88081386686</v>
      </c>
      <c r="K14" s="52" t="n">
        <f aca="false">I14*$C$5</f>
        <v>87.6277778548527</v>
      </c>
      <c r="L14" s="15" t="n">
        <f aca="false">$C$9</f>
        <v>8</v>
      </c>
      <c r="M14" s="37" t="n">
        <f aca="false">G14</f>
        <v>6</v>
      </c>
      <c r="N14" s="7" t="s">
        <v>463</v>
      </c>
    </row>
    <row r="15" customFormat="false" ht="158.2" hidden="false" customHeight="false" outlineLevel="0" collapsed="false">
      <c r="A15" s="7" t="s">
        <v>411</v>
      </c>
      <c r="B15" s="7" t="s">
        <v>464</v>
      </c>
      <c r="C15" s="22" t="n">
        <f aca="false">'Load Schedule'!F7</f>
        <v>5.5</v>
      </c>
      <c r="D15" s="13" t="n">
        <v>1</v>
      </c>
      <c r="E15" s="7" t="s">
        <v>45</v>
      </c>
      <c r="F15" s="22" t="n">
        <f aca="false">'Pump Hydraulics'!C46/Inputs!$B$11</f>
        <v>1.86121204901633</v>
      </c>
      <c r="G15" s="22" t="n">
        <f aca="false">'Pump Hydraulics'!C56</f>
        <v>0.166666666666667</v>
      </c>
      <c r="H15" s="37" t="n">
        <f aca="false">F15*G15</f>
        <v>0.310202008169388</v>
      </c>
      <c r="I15" s="51" t="n">
        <f aca="false">H15*$C$7</f>
        <v>9.30606024508163</v>
      </c>
      <c r="J15" s="51" t="n">
        <f aca="false">I15*$C$8</f>
        <v>111.67272294098</v>
      </c>
      <c r="K15" s="52" t="n">
        <f aca="false">I15*$C$5</f>
        <v>4.73678466474655</v>
      </c>
      <c r="L15" s="15" t="n">
        <f aca="false">$C$9+Inputs!$B$29</f>
        <v>14</v>
      </c>
      <c r="M15" s="37" t="n">
        <f aca="false">G15</f>
        <v>0.166666666666667</v>
      </c>
      <c r="N15" s="7" t="s">
        <v>465</v>
      </c>
    </row>
    <row r="16" customFormat="false" ht="91" hidden="false" customHeight="false" outlineLevel="0" collapsed="false">
      <c r="A16" s="7" t="s">
        <v>413</v>
      </c>
      <c r="B16" s="7" t="s">
        <v>86</v>
      </c>
      <c r="C16" s="22" t="n">
        <f aca="false">'Load Schedule'!F9</f>
        <v>5.5</v>
      </c>
      <c r="D16" s="13" t="n">
        <v>1</v>
      </c>
      <c r="E16" s="7" t="s">
        <v>45</v>
      </c>
      <c r="F16" s="22" t="n">
        <f aca="false">'Pump Hydraulics'!D46/Inputs!$B$11</f>
        <v>1.57080990337962</v>
      </c>
      <c r="G16" s="22" t="n">
        <f aca="false">'Pump Hydraulics'!D56</f>
        <v>6</v>
      </c>
      <c r="H16" s="37" t="n">
        <f aca="false">F16*G16</f>
        <v>9.4248594202777</v>
      </c>
      <c r="I16" s="51" t="n">
        <f aca="false">H16*$C$7</f>
        <v>282.745782608331</v>
      </c>
      <c r="J16" s="51" t="n">
        <f aca="false">I16*$C$8</f>
        <v>3392.94939129997</v>
      </c>
      <c r="K16" s="52" t="n">
        <f aca="false">I16*$C$5</f>
        <v>143.917603347641</v>
      </c>
      <c r="L16" s="15" t="n">
        <f aca="false">$C$9</f>
        <v>8</v>
      </c>
      <c r="M16" s="37" t="n">
        <f aca="false">G16</f>
        <v>6</v>
      </c>
      <c r="N16" s="7" t="s">
        <v>466</v>
      </c>
    </row>
    <row r="17" customFormat="false" ht="102.2" hidden="false" customHeight="false" outlineLevel="0" collapsed="false">
      <c r="A17" s="7" t="s">
        <v>414</v>
      </c>
      <c r="B17" s="7" t="s">
        <v>415</v>
      </c>
      <c r="C17" s="22" t="n">
        <f aca="false">'Load Schedule'!F10</f>
        <v>1.5</v>
      </c>
      <c r="D17" s="13" t="n">
        <v>1</v>
      </c>
      <c r="E17" s="33" t="n">
        <v>0.8</v>
      </c>
      <c r="F17" s="37" t="n">
        <f aca="false">C17*D17*E17/IF(A17="DB-3",Inputs!$B$11,IF(A17="DB-4",Inputs!$B$11,1))</f>
        <v>1.2</v>
      </c>
      <c r="G17" s="33" t="n">
        <v>12</v>
      </c>
      <c r="H17" s="37" t="n">
        <f aca="false">F17*G17</f>
        <v>14.4</v>
      </c>
      <c r="I17" s="51" t="n">
        <f aca="false">H17*$C$7</f>
        <v>432</v>
      </c>
      <c r="J17" s="51" t="n">
        <f aca="false">I17*$C$8</f>
        <v>5184</v>
      </c>
      <c r="K17" s="52" t="n">
        <f aca="false">I17*$C$5</f>
        <v>219.888</v>
      </c>
      <c r="L17" s="15" t="n">
        <f aca="false">$C$10</f>
        <v>18</v>
      </c>
      <c r="M17" s="37" t="n">
        <f aca="false">G17</f>
        <v>12</v>
      </c>
      <c r="N17" s="7" t="s">
        <v>467</v>
      </c>
    </row>
    <row r="18" customFormat="false" ht="135.8" hidden="false" customHeight="false" outlineLevel="0" collapsed="false">
      <c r="A18" s="7" t="s">
        <v>417</v>
      </c>
      <c r="B18" s="7" t="s">
        <v>418</v>
      </c>
      <c r="C18" s="22" t="n">
        <f aca="false">'Load Schedule'!F11</f>
        <v>2</v>
      </c>
      <c r="D18" s="13" t="n">
        <v>1</v>
      </c>
      <c r="E18" s="33" t="n">
        <v>0.3</v>
      </c>
      <c r="F18" s="37" t="n">
        <f aca="false">C18*D18*E18/IF(A18="DB-3",Inputs!$B$11,IF(A18="DB-4",Inputs!$B$11,1))</f>
        <v>0.6</v>
      </c>
      <c r="G18" s="33" t="n">
        <v>4</v>
      </c>
      <c r="H18" s="37" t="n">
        <f aca="false">F18*G18</f>
        <v>2.4</v>
      </c>
      <c r="I18" s="51" t="n">
        <f aca="false">H18*$C$7</f>
        <v>72</v>
      </c>
      <c r="J18" s="51" t="n">
        <f aca="false">I18*$C$8</f>
        <v>864</v>
      </c>
      <c r="K18" s="52" t="n">
        <f aca="false">I18*$C$5</f>
        <v>36.648</v>
      </c>
      <c r="L18" s="15" t="n">
        <f aca="false">$C$9</f>
        <v>8</v>
      </c>
      <c r="M18" s="37" t="n">
        <f aca="false">G18</f>
        <v>4</v>
      </c>
      <c r="N18" s="7" t="s">
        <v>468</v>
      </c>
    </row>
    <row r="19" customFormat="false" ht="124.6" hidden="false" customHeight="false" outlineLevel="0" collapsed="false">
      <c r="A19" s="7" t="s">
        <v>420</v>
      </c>
      <c r="B19" s="7" t="s">
        <v>469</v>
      </c>
      <c r="C19" s="22" t="n">
        <f aca="false">'Load Schedule'!F12</f>
        <v>0.12</v>
      </c>
      <c r="D19" s="13" t="n">
        <v>4</v>
      </c>
      <c r="E19" s="33" t="n">
        <v>0.7</v>
      </c>
      <c r="F19" s="37" t="n">
        <f aca="false">C19*D19*E19/IF(A19="DB-3",Inputs!$B$11,IF(A19="DB-4",Inputs!$B$11,1))</f>
        <v>0.375</v>
      </c>
      <c r="G19" s="22" t="n">
        <f aca="false">Inputs!$B$29</f>
        <v>6</v>
      </c>
      <c r="H19" s="37" t="n">
        <f aca="false">F19*G19</f>
        <v>2.25</v>
      </c>
      <c r="I19" s="51" t="n">
        <f aca="false">H19*$C$7</f>
        <v>67.5</v>
      </c>
      <c r="J19" s="51" t="n">
        <f aca="false">I19*$C$8</f>
        <v>810</v>
      </c>
      <c r="K19" s="52" t="n">
        <f aca="false">I19*$C$5</f>
        <v>34.3575</v>
      </c>
      <c r="L19" s="15" t="n">
        <f aca="false">$C$9</f>
        <v>8</v>
      </c>
      <c r="M19" s="37" t="n">
        <f aca="false">G19</f>
        <v>6</v>
      </c>
      <c r="N19" s="7" t="s">
        <v>470</v>
      </c>
    </row>
    <row r="20" customFormat="false" ht="135.8" hidden="false" customHeight="false" outlineLevel="0" collapsed="false">
      <c r="A20" s="7" t="s">
        <v>422</v>
      </c>
      <c r="B20" s="7" t="s">
        <v>471</v>
      </c>
      <c r="C20" s="22" t="n">
        <f aca="false">'Load Schedule'!F13</f>
        <v>0.37</v>
      </c>
      <c r="D20" s="13" t="n">
        <v>4</v>
      </c>
      <c r="E20" s="33" t="n">
        <v>0.8</v>
      </c>
      <c r="F20" s="37" t="n">
        <f aca="false">C20*D20*E20/IF(A20="DB-3",Inputs!$B$11,IF(A20="DB-4",Inputs!$B$11,1))</f>
        <v>1.32142857142857</v>
      </c>
      <c r="G20" s="22" t="n">
        <f aca="false">Inputs!$B$29+2</f>
        <v>8</v>
      </c>
      <c r="H20" s="37" t="n">
        <f aca="false">F20*G20</f>
        <v>10.5714285714286</v>
      </c>
      <c r="I20" s="51" t="n">
        <f aca="false">H20*$C$7</f>
        <v>317.142857142857</v>
      </c>
      <c r="J20" s="51" t="n">
        <f aca="false">I20*$C$8</f>
        <v>3805.71428571429</v>
      </c>
      <c r="K20" s="52" t="n">
        <f aca="false">I20*$C$5</f>
        <v>161.425714285714</v>
      </c>
      <c r="L20" s="15" t="n">
        <f aca="false">$C$9-1</f>
        <v>7</v>
      </c>
      <c r="M20" s="37" t="n">
        <f aca="false">G20</f>
        <v>8</v>
      </c>
      <c r="N20" s="7" t="s">
        <v>472</v>
      </c>
    </row>
    <row r="21" customFormat="false" ht="147" hidden="false" customHeight="false" outlineLevel="0" collapsed="false">
      <c r="A21" s="7" t="s">
        <v>424</v>
      </c>
      <c r="B21" s="7" t="s">
        <v>473</v>
      </c>
      <c r="C21" s="22" t="n">
        <f aca="false">'Load Schedule'!F14</f>
        <v>0.5</v>
      </c>
      <c r="D21" s="13" t="n">
        <v>1</v>
      </c>
      <c r="E21" s="33" t="n">
        <v>0.6</v>
      </c>
      <c r="F21" s="37" t="n">
        <f aca="false">C21*D21*E21/IF(A21="DB-3",Inputs!$B$11,IF(A21="DB-4",Inputs!$B$11,1))</f>
        <v>0.3</v>
      </c>
      <c r="G21" s="33" t="n">
        <v>24</v>
      </c>
      <c r="H21" s="37" t="n">
        <f aca="false">F21*G21</f>
        <v>7.2</v>
      </c>
      <c r="I21" s="51" t="n">
        <f aca="false">H21*$C$7</f>
        <v>216</v>
      </c>
      <c r="J21" s="51" t="n">
        <f aca="false">I21*$C$8</f>
        <v>2592</v>
      </c>
      <c r="K21" s="52" t="n">
        <f aca="false">I21*$C$5</f>
        <v>109.944</v>
      </c>
      <c r="L21" s="35" t="n">
        <v>0</v>
      </c>
      <c r="M21" s="37" t="n">
        <f aca="false">G21</f>
        <v>24</v>
      </c>
      <c r="N21" s="7" t="s">
        <v>474</v>
      </c>
    </row>
    <row r="22" customFormat="false" ht="35.05" hidden="false" customHeight="false" outlineLevel="0" collapsed="false">
      <c r="B22" s="18" t="s">
        <v>475</v>
      </c>
      <c r="F22" s="53" t="n">
        <f aca="false">SUM(F14:F21)</f>
        <v>8.18487682654065</v>
      </c>
      <c r="H22" s="53" t="n">
        <f aca="false">SUM(H14:H21)</f>
        <v>52.2950478161725</v>
      </c>
      <c r="I22" s="54" t="n">
        <f aca="false">SUM(I14:I21)</f>
        <v>1568.85143448517</v>
      </c>
      <c r="J22" s="54" t="n">
        <f aca="false">SUM(J14:J21)</f>
        <v>18826.2172138221</v>
      </c>
      <c r="K22" s="53" t="n">
        <f aca="false">SUM(K14:K21)</f>
        <v>798.545380152954</v>
      </c>
    </row>
    <row r="24" customFormat="false" ht="15" hidden="false" customHeight="false" outlineLevel="0" collapsed="false">
      <c r="A24" s="10" t="s">
        <v>476</v>
      </c>
      <c r="B24" s="11"/>
      <c r="C24" s="11"/>
      <c r="D24" s="11"/>
      <c r="E24" s="11"/>
      <c r="F24" s="11"/>
      <c r="G24" s="11"/>
      <c r="H24" s="11"/>
      <c r="I24" s="11"/>
      <c r="J24" s="11"/>
      <c r="K24" s="11"/>
      <c r="L24" s="11"/>
      <c r="M24" s="11"/>
      <c r="N24" s="11"/>
    </row>
    <row r="25" customFormat="false" ht="57.45" hidden="false" customHeight="true" outlineLevel="0" collapsed="false">
      <c r="B25" s="7" t="s">
        <v>477</v>
      </c>
      <c r="C25" s="36" t="n">
        <f aca="false">'Pump Hydraulics'!$B$6*Inputs!$B$29</f>
        <v>120</v>
      </c>
      <c r="D25" s="7" t="s">
        <v>302</v>
      </c>
      <c r="E25" s="7"/>
      <c r="F25" s="7"/>
      <c r="G25" s="7"/>
      <c r="H25" s="7"/>
      <c r="I25" s="7"/>
      <c r="J25" s="7"/>
      <c r="K25" s="7"/>
      <c r="L25" s="7"/>
      <c r="M25" s="7"/>
      <c r="N25" s="7"/>
    </row>
    <row r="26" customFormat="false" ht="102.2" hidden="false" customHeight="true" outlineLevel="0" collapsed="false">
      <c r="B26" s="39" t="s">
        <v>478</v>
      </c>
      <c r="C26" s="55" t="n">
        <f aca="false">H22/C25</f>
        <v>0.435792065134771</v>
      </c>
      <c r="D26" s="7" t="s">
        <v>479</v>
      </c>
      <c r="E26" s="7"/>
      <c r="F26" s="7"/>
      <c r="G26" s="7"/>
      <c r="H26" s="7"/>
      <c r="I26" s="7"/>
      <c r="J26" s="7"/>
      <c r="K26" s="7"/>
      <c r="L26" s="7"/>
      <c r="M26" s="7"/>
      <c r="N26" s="7"/>
    </row>
    <row r="27" customFormat="false" ht="79.85" hidden="false" customHeight="true" outlineLevel="0" collapsed="false">
      <c r="B27" s="7" t="s">
        <v>480</v>
      </c>
      <c r="C27" s="37" t="n">
        <f aca="false">MAX(B46:Y46)</f>
        <v>5.12366477752433</v>
      </c>
      <c r="D27" s="7" t="s">
        <v>481</v>
      </c>
      <c r="E27" s="7"/>
      <c r="F27" s="7"/>
      <c r="G27" s="7"/>
      <c r="H27" s="7"/>
      <c r="I27" s="7"/>
      <c r="J27" s="7"/>
      <c r="K27" s="7"/>
      <c r="L27" s="7"/>
      <c r="M27" s="7"/>
      <c r="N27" s="7"/>
    </row>
    <row r="28" customFormat="false" ht="68.65" hidden="false" customHeight="true" outlineLevel="0" collapsed="false">
      <c r="B28" s="7" t="s">
        <v>482</v>
      </c>
      <c r="C28" s="52" t="n">
        <f aca="false">C27*$C$6</f>
        <v>153.70994332573</v>
      </c>
      <c r="D28" s="7" t="s">
        <v>483</v>
      </c>
      <c r="E28" s="7"/>
      <c r="F28" s="7"/>
      <c r="G28" s="7"/>
      <c r="H28" s="7"/>
      <c r="I28" s="7"/>
      <c r="J28" s="7"/>
      <c r="K28" s="7"/>
      <c r="L28" s="7"/>
      <c r="M28" s="7"/>
      <c r="N28" s="7"/>
    </row>
    <row r="29" customFormat="false" ht="46.25" hidden="false" customHeight="true" outlineLevel="0" collapsed="false">
      <c r="B29" s="7" t="s">
        <v>484</v>
      </c>
      <c r="C29" s="52" t="n">
        <f aca="false">K22</f>
        <v>798.545380152954</v>
      </c>
      <c r="D29" s="7" t="s">
        <v>485</v>
      </c>
      <c r="E29" s="7"/>
      <c r="F29" s="7"/>
      <c r="G29" s="7"/>
      <c r="H29" s="7"/>
      <c r="I29" s="7"/>
      <c r="J29" s="7"/>
      <c r="K29" s="7"/>
      <c r="L29" s="7"/>
      <c r="M29" s="7"/>
      <c r="N29" s="7"/>
    </row>
    <row r="30" customFormat="false" ht="57.45" hidden="false" customHeight="true" outlineLevel="0" collapsed="false">
      <c r="B30" s="39" t="s">
        <v>486</v>
      </c>
      <c r="C30" s="52" t="n">
        <f aca="false">C29+C28</f>
        <v>952.255323478684</v>
      </c>
      <c r="D30" s="7" t="s">
        <v>487</v>
      </c>
      <c r="E30" s="7"/>
      <c r="F30" s="7"/>
      <c r="G30" s="7"/>
      <c r="H30" s="7"/>
      <c r="I30" s="7"/>
      <c r="J30" s="7"/>
      <c r="K30" s="7"/>
      <c r="L30" s="7"/>
      <c r="M30" s="7"/>
      <c r="N30" s="7"/>
    </row>
    <row r="31" customFormat="false" ht="57.45" hidden="false" customHeight="false" outlineLevel="0" collapsed="false">
      <c r="B31" s="39" t="s">
        <v>488</v>
      </c>
      <c r="C31" s="51" t="n">
        <f aca="false">C30*$C$8</f>
        <v>11427.0638817442</v>
      </c>
      <c r="D31" s="7"/>
      <c r="E31" s="7"/>
      <c r="F31" s="7"/>
      <c r="G31" s="7"/>
      <c r="H31" s="7"/>
      <c r="I31" s="7"/>
      <c r="J31" s="7"/>
      <c r="K31" s="7"/>
      <c r="L31" s="7"/>
      <c r="M31" s="7"/>
      <c r="N31" s="7"/>
    </row>
    <row r="32" customFormat="false" ht="68.65" hidden="false" customHeight="true" outlineLevel="0" collapsed="false">
      <c r="B32" s="7" t="s">
        <v>489</v>
      </c>
      <c r="C32" s="55" t="n">
        <f aca="false">C30/(C25*$C$7)</f>
        <v>0.264515367632968</v>
      </c>
      <c r="D32" s="7" t="s">
        <v>490</v>
      </c>
      <c r="E32" s="7"/>
      <c r="F32" s="7"/>
      <c r="G32" s="7"/>
      <c r="H32" s="7"/>
      <c r="I32" s="7"/>
      <c r="J32" s="7"/>
      <c r="K32" s="7"/>
      <c r="L32" s="7"/>
      <c r="M32" s="7"/>
      <c r="N32" s="7"/>
    </row>
    <row r="33" customFormat="false" ht="46.25" hidden="false" customHeight="false" outlineLevel="0" collapsed="false">
      <c r="B33" s="7" t="s">
        <v>491</v>
      </c>
      <c r="C33" s="51" t="n">
        <f aca="false">J22</f>
        <v>18826.2172138221</v>
      </c>
      <c r="D33" s="7"/>
      <c r="E33" s="7"/>
      <c r="F33" s="7"/>
      <c r="G33" s="7"/>
      <c r="H33" s="7"/>
      <c r="I33" s="7"/>
      <c r="J33" s="7"/>
      <c r="K33" s="7"/>
      <c r="L33" s="7"/>
      <c r="M33" s="7"/>
      <c r="N33" s="7"/>
    </row>
    <row r="34" customFormat="false" ht="46.25" hidden="false" customHeight="true" outlineLevel="0" collapsed="false">
      <c r="B34" s="7" t="s">
        <v>492</v>
      </c>
      <c r="C34" s="37" t="n">
        <f aca="false">C33*0.774/1000</f>
        <v>14.5714921234983</v>
      </c>
      <c r="D34" s="7" t="s">
        <v>493</v>
      </c>
      <c r="E34" s="7"/>
      <c r="F34" s="7"/>
      <c r="G34" s="7"/>
      <c r="H34" s="7"/>
      <c r="I34" s="7"/>
      <c r="J34" s="7"/>
      <c r="K34" s="7"/>
      <c r="L34" s="7"/>
      <c r="M34" s="7"/>
      <c r="N34" s="7"/>
    </row>
    <row r="36" customFormat="false" ht="15" hidden="false" customHeight="false" outlineLevel="0" collapsed="false">
      <c r="A36" s="10" t="s">
        <v>494</v>
      </c>
      <c r="B36" s="11"/>
      <c r="C36" s="11"/>
      <c r="D36" s="11"/>
      <c r="E36" s="11"/>
      <c r="F36" s="11"/>
      <c r="G36" s="11"/>
      <c r="H36" s="11"/>
      <c r="I36" s="11"/>
      <c r="J36" s="11"/>
      <c r="K36" s="11"/>
      <c r="L36" s="11"/>
      <c r="M36" s="11"/>
      <c r="N36" s="11"/>
    </row>
    <row r="37" customFormat="false" ht="45" hidden="false" customHeight="true" outlineLevel="0" collapsed="false">
      <c r="A37" s="4" t="s">
        <v>495</v>
      </c>
      <c r="B37" s="4" t="s">
        <v>496</v>
      </c>
      <c r="C37" s="4" t="s">
        <v>497</v>
      </c>
      <c r="D37" s="4" t="s">
        <v>498</v>
      </c>
      <c r="E37" s="4" t="s">
        <v>499</v>
      </c>
      <c r="F37" s="4" t="s">
        <v>500</v>
      </c>
      <c r="G37" s="4" t="s">
        <v>501</v>
      </c>
      <c r="H37" s="4" t="s">
        <v>502</v>
      </c>
      <c r="I37" s="4" t="s">
        <v>503</v>
      </c>
      <c r="J37" s="4" t="s">
        <v>504</v>
      </c>
      <c r="K37" s="4" t="s">
        <v>505</v>
      </c>
      <c r="L37" s="4" t="s">
        <v>506</v>
      </c>
      <c r="M37" s="4" t="s">
        <v>507</v>
      </c>
      <c r="N37" s="4" t="s">
        <v>508</v>
      </c>
      <c r="O37" s="4" t="s">
        <v>509</v>
      </c>
      <c r="P37" s="4" t="s">
        <v>510</v>
      </c>
      <c r="Q37" s="4" t="s">
        <v>511</v>
      </c>
      <c r="R37" s="4" t="s">
        <v>512</v>
      </c>
      <c r="S37" s="4" t="s">
        <v>513</v>
      </c>
      <c r="T37" s="4" t="s">
        <v>514</v>
      </c>
      <c r="U37" s="4" t="s">
        <v>515</v>
      </c>
      <c r="V37" s="4" t="s">
        <v>516</v>
      </c>
      <c r="W37" s="4" t="s">
        <v>517</v>
      </c>
      <c r="X37" s="4" t="s">
        <v>518</v>
      </c>
      <c r="Y37" s="4" t="s">
        <v>519</v>
      </c>
      <c r="Z37" s="4" t="s">
        <v>52</v>
      </c>
    </row>
    <row r="38" customFormat="false" ht="15" hidden="false" customHeight="false" outlineLevel="0" collapsed="false">
      <c r="A38" s="7" t="str">
        <f aca="false">B14</f>
        <v>Raw Water Pump (duty)</v>
      </c>
      <c r="B38" s="37" t="n">
        <f aca="false">$F$14*(MAX(0,MIN($L$14+$M$14,0+1)-MAX($L$14,0))+MAX(0,MIN($L$14-24+$M$14,0+1)-MAX($L$14-24,0))+MAX(0,MIN($L$14+24+$M$14,0+1)-MAX($L$14+24,0)))</f>
        <v>0</v>
      </c>
      <c r="C38" s="37" t="n">
        <f aca="false">$F$14*(MAX(0,MIN($L$14+$M$14,1+1)-MAX($L$14,1))+MAX(0,MIN($L$14-24+$M$14,1+1)-MAX($L$14-24,1))+MAX(0,MIN($L$14+24+$M$14,1+1)-MAX($L$14+24,1)))</f>
        <v>0</v>
      </c>
      <c r="D38" s="37" t="n">
        <f aca="false">$F$14*(MAX(0,MIN($L$14+$M$14,2+1)-MAX($L$14,2))+MAX(0,MIN($L$14-24+$M$14,2+1)-MAX($L$14-24,2))+MAX(0,MIN($L$14+24+$M$14,2+1)-MAX($L$14+24,2)))</f>
        <v>0</v>
      </c>
      <c r="E38" s="37" t="n">
        <f aca="false">$F$14*(MAX(0,MIN($L$14+$M$14,3+1)-MAX($L$14,3))+MAX(0,MIN($L$14-24+$M$14,3+1)-MAX($L$14-24,3))+MAX(0,MIN($L$14+24+$M$14,3+1)-MAX($L$14+24,3)))</f>
        <v>0</v>
      </c>
      <c r="F38" s="37" t="n">
        <f aca="false">$F$14*(MAX(0,MIN($L$14+$M$14,4+1)-MAX($L$14,4))+MAX(0,MIN($L$14-24+$M$14,4+1)-MAX($L$14-24,4))+MAX(0,MIN($L$14+24+$M$14,4+1)-MAX($L$14+24,4)))</f>
        <v>0</v>
      </c>
      <c r="G38" s="37" t="n">
        <f aca="false">$F$14*(MAX(0,MIN($L$14+$M$14,5+1)-MAX($L$14,5))+MAX(0,MIN($L$14-24+$M$14,5+1)-MAX($L$14-24,5))+MAX(0,MIN($L$14+24+$M$14,5+1)-MAX($L$14+24,5)))</f>
        <v>0</v>
      </c>
      <c r="H38" s="37" t="n">
        <f aca="false">$F$14*(MAX(0,MIN($L$14+$M$14,6+1)-MAX($L$14,6))+MAX(0,MIN($L$14-24+$M$14,6+1)-MAX($L$14-24,6))+MAX(0,MIN($L$14+24+$M$14,6+1)-MAX($L$14+24,6)))</f>
        <v>0</v>
      </c>
      <c r="I38" s="37" t="n">
        <f aca="false">$F$14*(MAX(0,MIN($L$14+$M$14,7+1)-MAX($L$14,7))+MAX(0,MIN($L$14-24+$M$14,7+1)-MAX($L$14-24,7))+MAX(0,MIN($L$14+24+$M$14,7+1)-MAX($L$14+24,7)))</f>
        <v>0</v>
      </c>
      <c r="J38" s="37" t="n">
        <f aca="false">$F$14*(MAX(0,MIN($L$14+$M$14,8+1)-MAX($L$14,8))+MAX(0,MIN($L$14-24+$M$14,8+1)-MAX($L$14-24,8))+MAX(0,MIN($L$14+24+$M$14,8+1)-MAX($L$14+24,8)))</f>
        <v>0.956426302716139</v>
      </c>
      <c r="K38" s="37" t="n">
        <f aca="false">$F$14*(MAX(0,MIN($L$14+$M$14,9+1)-MAX($L$14,9))+MAX(0,MIN($L$14-24+$M$14,9+1)-MAX($L$14-24,9))+MAX(0,MIN($L$14+24+$M$14,9+1)-MAX($L$14+24,9)))</f>
        <v>0.956426302716139</v>
      </c>
      <c r="L38" s="37" t="n">
        <f aca="false">$F$14*(MAX(0,MIN($L$14+$M$14,10+1)-MAX($L$14,10))+MAX(0,MIN($L$14-24+$M$14,10+1)-MAX($L$14-24,10))+MAX(0,MIN($L$14+24+$M$14,10+1)-MAX($L$14+24,10)))</f>
        <v>0.956426302716139</v>
      </c>
      <c r="M38" s="37" t="n">
        <f aca="false">$F$14*(MAX(0,MIN($L$14+$M$14,11+1)-MAX($L$14,11))+MAX(0,MIN($L$14-24+$M$14,11+1)-MAX($L$14-24,11))+MAX(0,MIN($L$14+24+$M$14,11+1)-MAX($L$14+24,11)))</f>
        <v>0.956426302716139</v>
      </c>
      <c r="N38" s="37" t="n">
        <f aca="false">$F$14*(MAX(0,MIN($L$14+$M$14,12+1)-MAX($L$14,12))+MAX(0,MIN($L$14-24+$M$14,12+1)-MAX($L$14-24,12))+MAX(0,MIN($L$14+24+$M$14,12+1)-MAX($L$14+24,12)))</f>
        <v>0.956426302716139</v>
      </c>
      <c r="O38" s="37" t="n">
        <f aca="false">$F$14*(MAX(0,MIN($L$14+$M$14,13+1)-MAX($L$14,13))+MAX(0,MIN($L$14-24+$M$14,13+1)-MAX($L$14-24,13))+MAX(0,MIN($L$14+24+$M$14,13+1)-MAX($L$14+24,13)))</f>
        <v>0.956426302716139</v>
      </c>
      <c r="P38" s="37" t="n">
        <f aca="false">$F$14*(MAX(0,MIN($L$14+$M$14,14+1)-MAX($L$14,14))+MAX(0,MIN($L$14-24+$M$14,14+1)-MAX($L$14-24,14))+MAX(0,MIN($L$14+24+$M$14,14+1)-MAX($L$14+24,14)))</f>
        <v>0</v>
      </c>
      <c r="Q38" s="37" t="n">
        <f aca="false">$F$14*(MAX(0,MIN($L$14+$M$14,15+1)-MAX($L$14,15))+MAX(0,MIN($L$14-24+$M$14,15+1)-MAX($L$14-24,15))+MAX(0,MIN($L$14+24+$M$14,15+1)-MAX($L$14+24,15)))</f>
        <v>0</v>
      </c>
      <c r="R38" s="37" t="n">
        <f aca="false">$F$14*(MAX(0,MIN($L$14+$M$14,16+1)-MAX($L$14,16))+MAX(0,MIN($L$14-24+$M$14,16+1)-MAX($L$14-24,16))+MAX(0,MIN($L$14+24+$M$14,16+1)-MAX($L$14+24,16)))</f>
        <v>0</v>
      </c>
      <c r="S38" s="37" t="n">
        <f aca="false">$F$14*(MAX(0,MIN($L$14+$M$14,17+1)-MAX($L$14,17))+MAX(0,MIN($L$14-24+$M$14,17+1)-MAX($L$14-24,17))+MAX(0,MIN($L$14+24+$M$14,17+1)-MAX($L$14+24,17)))</f>
        <v>0</v>
      </c>
      <c r="T38" s="37" t="n">
        <f aca="false">$F$14*(MAX(0,MIN($L$14+$M$14,18+1)-MAX($L$14,18))+MAX(0,MIN($L$14-24+$M$14,18+1)-MAX($L$14-24,18))+MAX(0,MIN($L$14+24+$M$14,18+1)-MAX($L$14+24,18)))</f>
        <v>0</v>
      </c>
      <c r="U38" s="37" t="n">
        <f aca="false">$F$14*(MAX(0,MIN($L$14+$M$14,19+1)-MAX($L$14,19))+MAX(0,MIN($L$14-24+$M$14,19+1)-MAX($L$14-24,19))+MAX(0,MIN($L$14+24+$M$14,19+1)-MAX($L$14+24,19)))</f>
        <v>0</v>
      </c>
      <c r="V38" s="37" t="n">
        <f aca="false">$F$14*(MAX(0,MIN($L$14+$M$14,20+1)-MAX($L$14,20))+MAX(0,MIN($L$14-24+$M$14,20+1)-MAX($L$14-24,20))+MAX(0,MIN($L$14+24+$M$14,20+1)-MAX($L$14+24,20)))</f>
        <v>0</v>
      </c>
      <c r="W38" s="37" t="n">
        <f aca="false">$F$14*(MAX(0,MIN($L$14+$M$14,21+1)-MAX($L$14,21))+MAX(0,MIN($L$14-24+$M$14,21+1)-MAX($L$14-24,21))+MAX(0,MIN($L$14+24+$M$14,21+1)-MAX($L$14+24,21)))</f>
        <v>0</v>
      </c>
      <c r="X38" s="37" t="n">
        <f aca="false">$F$14*(MAX(0,MIN($L$14+$M$14,22+1)-MAX($L$14,22))+MAX(0,MIN($L$14-24+$M$14,22+1)-MAX($L$14-24,22))+MAX(0,MIN($L$14+24+$M$14,22+1)-MAX($L$14+24,22)))</f>
        <v>0</v>
      </c>
      <c r="Y38" s="37" t="n">
        <f aca="false">$F$14*(MAX(0,MIN($L$14+$M$14,23+1)-MAX($L$14,23))+MAX(0,MIN($L$14-24+$M$14,23+1)-MAX($L$14-24,23))+MAX(0,MIN($L$14+24+$M$14,23+1)-MAX($L$14+24,23)))</f>
        <v>0</v>
      </c>
      <c r="Z38" s="37" t="n">
        <f aca="false">SUM(B38:Y38)</f>
        <v>5.73855781629683</v>
      </c>
    </row>
    <row r="39" customFormat="false" ht="15" hidden="false" customHeight="false" outlineLevel="0" collapsed="false">
      <c r="A39" s="7" t="str">
        <f aca="false">B15</f>
        <v>Backwash Pump (duty)</v>
      </c>
      <c r="B39" s="37" t="n">
        <f aca="false">$F$15*(MAX(0,MIN($L$15+$M$15,0+1)-MAX($L$15,0))+MAX(0,MIN($L$15-24+$M$15,0+1)-MAX($L$15-24,0))+MAX(0,MIN($L$15+24+$M$15,0+1)-MAX($L$15+24,0)))</f>
        <v>0</v>
      </c>
      <c r="C39" s="37" t="n">
        <f aca="false">$F$15*(MAX(0,MIN($L$15+$M$15,1+1)-MAX($L$15,1))+MAX(0,MIN($L$15-24+$M$15,1+1)-MAX($L$15-24,1))+MAX(0,MIN($L$15+24+$M$15,1+1)-MAX($L$15+24,1)))</f>
        <v>0</v>
      </c>
      <c r="D39" s="37" t="n">
        <f aca="false">$F$15*(MAX(0,MIN($L$15+$M$15,2+1)-MAX($L$15,2))+MAX(0,MIN($L$15-24+$M$15,2+1)-MAX($L$15-24,2))+MAX(0,MIN($L$15+24+$M$15,2+1)-MAX($L$15+24,2)))</f>
        <v>0</v>
      </c>
      <c r="E39" s="37" t="n">
        <f aca="false">$F$15*(MAX(0,MIN($L$15+$M$15,3+1)-MAX($L$15,3))+MAX(0,MIN($L$15-24+$M$15,3+1)-MAX($L$15-24,3))+MAX(0,MIN($L$15+24+$M$15,3+1)-MAX($L$15+24,3)))</f>
        <v>0</v>
      </c>
      <c r="F39" s="37" t="n">
        <f aca="false">$F$15*(MAX(0,MIN($L$15+$M$15,4+1)-MAX($L$15,4))+MAX(0,MIN($L$15-24+$M$15,4+1)-MAX($L$15-24,4))+MAX(0,MIN($L$15+24+$M$15,4+1)-MAX($L$15+24,4)))</f>
        <v>0</v>
      </c>
      <c r="G39" s="37" t="n">
        <f aca="false">$F$15*(MAX(0,MIN($L$15+$M$15,5+1)-MAX($L$15,5))+MAX(0,MIN($L$15-24+$M$15,5+1)-MAX($L$15-24,5))+MAX(0,MIN($L$15+24+$M$15,5+1)-MAX($L$15+24,5)))</f>
        <v>0</v>
      </c>
      <c r="H39" s="37" t="n">
        <f aca="false">$F$15*(MAX(0,MIN($L$15+$M$15,6+1)-MAX($L$15,6))+MAX(0,MIN($L$15-24+$M$15,6+1)-MAX($L$15-24,6))+MAX(0,MIN($L$15+24+$M$15,6+1)-MAX($L$15+24,6)))</f>
        <v>0</v>
      </c>
      <c r="I39" s="37" t="n">
        <f aca="false">$F$15*(MAX(0,MIN($L$15+$M$15,7+1)-MAX($L$15,7))+MAX(0,MIN($L$15-24+$M$15,7+1)-MAX($L$15-24,7))+MAX(0,MIN($L$15+24+$M$15,7+1)-MAX($L$15+24,7)))</f>
        <v>0</v>
      </c>
      <c r="J39" s="37" t="n">
        <f aca="false">$F$15*(MAX(0,MIN($L$15+$M$15,8+1)-MAX($L$15,8))+MAX(0,MIN($L$15-24+$M$15,8+1)-MAX($L$15-24,8))+MAX(0,MIN($L$15+24+$M$15,8+1)-MAX($L$15+24,8)))</f>
        <v>0</v>
      </c>
      <c r="K39" s="37" t="n">
        <f aca="false">$F$15*(MAX(0,MIN($L$15+$M$15,9+1)-MAX($L$15,9))+MAX(0,MIN($L$15-24+$M$15,9+1)-MAX($L$15-24,9))+MAX(0,MIN($L$15+24+$M$15,9+1)-MAX($L$15+24,9)))</f>
        <v>0</v>
      </c>
      <c r="L39" s="37" t="n">
        <f aca="false">$F$15*(MAX(0,MIN($L$15+$M$15,10+1)-MAX($L$15,10))+MAX(0,MIN($L$15-24+$M$15,10+1)-MAX($L$15-24,10))+MAX(0,MIN($L$15+24+$M$15,10+1)-MAX($L$15+24,10)))</f>
        <v>0</v>
      </c>
      <c r="M39" s="37" t="n">
        <f aca="false">$F$15*(MAX(0,MIN($L$15+$M$15,11+1)-MAX($L$15,11))+MAX(0,MIN($L$15-24+$M$15,11+1)-MAX($L$15-24,11))+MAX(0,MIN($L$15+24+$M$15,11+1)-MAX($L$15+24,11)))</f>
        <v>0</v>
      </c>
      <c r="N39" s="37" t="n">
        <f aca="false">$F$15*(MAX(0,MIN($L$15+$M$15,12+1)-MAX($L$15,12))+MAX(0,MIN($L$15-24+$M$15,12+1)-MAX($L$15-24,12))+MAX(0,MIN($L$15+24+$M$15,12+1)-MAX($L$15+24,12)))</f>
        <v>0</v>
      </c>
      <c r="O39" s="37" t="n">
        <f aca="false">$F$15*(MAX(0,MIN($L$15+$M$15,13+1)-MAX($L$15,13))+MAX(0,MIN($L$15-24+$M$15,13+1)-MAX($L$15-24,13))+MAX(0,MIN($L$15+24+$M$15,13+1)-MAX($L$15+24,13)))</f>
        <v>0</v>
      </c>
      <c r="P39" s="37" t="n">
        <f aca="false">$F$15*(MAX(0,MIN($L$15+$M$15,14+1)-MAX($L$15,14))+MAX(0,MIN($L$15-24+$M$15,14+1)-MAX($L$15-24,14))+MAX(0,MIN($L$15+24+$M$15,14+1)-MAX($L$15+24,14)))</f>
        <v>0.310202008169387</v>
      </c>
      <c r="Q39" s="37" t="n">
        <f aca="false">$F$15*(MAX(0,MIN($L$15+$M$15,15+1)-MAX($L$15,15))+MAX(0,MIN($L$15-24+$M$15,15+1)-MAX($L$15-24,15))+MAX(0,MIN($L$15+24+$M$15,15+1)-MAX($L$15+24,15)))</f>
        <v>0</v>
      </c>
      <c r="R39" s="37" t="n">
        <f aca="false">$F$15*(MAX(0,MIN($L$15+$M$15,16+1)-MAX($L$15,16))+MAX(0,MIN($L$15-24+$M$15,16+1)-MAX($L$15-24,16))+MAX(0,MIN($L$15+24+$M$15,16+1)-MAX($L$15+24,16)))</f>
        <v>0</v>
      </c>
      <c r="S39" s="37" t="n">
        <f aca="false">$F$15*(MAX(0,MIN($L$15+$M$15,17+1)-MAX($L$15,17))+MAX(0,MIN($L$15-24+$M$15,17+1)-MAX($L$15-24,17))+MAX(0,MIN($L$15+24+$M$15,17+1)-MAX($L$15+24,17)))</f>
        <v>0</v>
      </c>
      <c r="T39" s="37" t="n">
        <f aca="false">$F$15*(MAX(0,MIN($L$15+$M$15,18+1)-MAX($L$15,18))+MAX(0,MIN($L$15-24+$M$15,18+1)-MAX($L$15-24,18))+MAX(0,MIN($L$15+24+$M$15,18+1)-MAX($L$15+24,18)))</f>
        <v>0</v>
      </c>
      <c r="U39" s="37" t="n">
        <f aca="false">$F$15*(MAX(0,MIN($L$15+$M$15,19+1)-MAX($L$15,19))+MAX(0,MIN($L$15-24+$M$15,19+1)-MAX($L$15-24,19))+MAX(0,MIN($L$15+24+$M$15,19+1)-MAX($L$15+24,19)))</f>
        <v>0</v>
      </c>
      <c r="V39" s="37" t="n">
        <f aca="false">$F$15*(MAX(0,MIN($L$15+$M$15,20+1)-MAX($L$15,20))+MAX(0,MIN($L$15-24+$M$15,20+1)-MAX($L$15-24,20))+MAX(0,MIN($L$15+24+$M$15,20+1)-MAX($L$15+24,20)))</f>
        <v>0</v>
      </c>
      <c r="W39" s="37" t="n">
        <f aca="false">$F$15*(MAX(0,MIN($L$15+$M$15,21+1)-MAX($L$15,21))+MAX(0,MIN($L$15-24+$M$15,21+1)-MAX($L$15-24,21))+MAX(0,MIN($L$15+24+$M$15,21+1)-MAX($L$15+24,21)))</f>
        <v>0</v>
      </c>
      <c r="X39" s="37" t="n">
        <f aca="false">$F$15*(MAX(0,MIN($L$15+$M$15,22+1)-MAX($L$15,22))+MAX(0,MIN($L$15-24+$M$15,22+1)-MAX($L$15-24,22))+MAX(0,MIN($L$15+24+$M$15,22+1)-MAX($L$15+24,22)))</f>
        <v>0</v>
      </c>
      <c r="Y39" s="37" t="n">
        <f aca="false">$F$15*(MAX(0,MIN($L$15+$M$15,23+1)-MAX($L$15,23))+MAX(0,MIN($L$15-24+$M$15,23+1)-MAX($L$15-24,23))+MAX(0,MIN($L$15+24+$M$15,23+1)-MAX($L$15+24,23)))</f>
        <v>0</v>
      </c>
      <c r="Z39" s="37" t="n">
        <f aca="false">SUM(B39:Y39)</f>
        <v>0.310202008169387</v>
      </c>
    </row>
    <row r="40" customFormat="false" ht="15" hidden="false" customHeight="false" outlineLevel="0" collapsed="false">
      <c r="A40" s="7" t="str">
        <f aca="false">B16</f>
        <v>Treated Water Pump</v>
      </c>
      <c r="B40" s="37" t="n">
        <f aca="false">$F$16*(MAX(0,MIN($L$16+$M$16,0+1)-MAX($L$16,0))+MAX(0,MIN($L$16-24+$M$16,0+1)-MAX($L$16-24,0))+MAX(0,MIN($L$16+24+$M$16,0+1)-MAX($L$16+24,0)))</f>
        <v>0</v>
      </c>
      <c r="C40" s="37" t="n">
        <f aca="false">$F$16*(MAX(0,MIN($L$16+$M$16,1+1)-MAX($L$16,1))+MAX(0,MIN($L$16-24+$M$16,1+1)-MAX($L$16-24,1))+MAX(0,MIN($L$16+24+$M$16,1+1)-MAX($L$16+24,1)))</f>
        <v>0</v>
      </c>
      <c r="D40" s="37" t="n">
        <f aca="false">$F$16*(MAX(0,MIN($L$16+$M$16,2+1)-MAX($L$16,2))+MAX(0,MIN($L$16-24+$M$16,2+1)-MAX($L$16-24,2))+MAX(0,MIN($L$16+24+$M$16,2+1)-MAX($L$16+24,2)))</f>
        <v>0</v>
      </c>
      <c r="E40" s="37" t="n">
        <f aca="false">$F$16*(MAX(0,MIN($L$16+$M$16,3+1)-MAX($L$16,3))+MAX(0,MIN($L$16-24+$M$16,3+1)-MAX($L$16-24,3))+MAX(0,MIN($L$16+24+$M$16,3+1)-MAX($L$16+24,3)))</f>
        <v>0</v>
      </c>
      <c r="F40" s="37" t="n">
        <f aca="false">$F$16*(MAX(0,MIN($L$16+$M$16,4+1)-MAX($L$16,4))+MAX(0,MIN($L$16-24+$M$16,4+1)-MAX($L$16-24,4))+MAX(0,MIN($L$16+24+$M$16,4+1)-MAX($L$16+24,4)))</f>
        <v>0</v>
      </c>
      <c r="G40" s="37" t="n">
        <f aca="false">$F$16*(MAX(0,MIN($L$16+$M$16,5+1)-MAX($L$16,5))+MAX(0,MIN($L$16-24+$M$16,5+1)-MAX($L$16-24,5))+MAX(0,MIN($L$16+24+$M$16,5+1)-MAX($L$16+24,5)))</f>
        <v>0</v>
      </c>
      <c r="H40" s="37" t="n">
        <f aca="false">$F$16*(MAX(0,MIN($L$16+$M$16,6+1)-MAX($L$16,6))+MAX(0,MIN($L$16-24+$M$16,6+1)-MAX($L$16-24,6))+MAX(0,MIN($L$16+24+$M$16,6+1)-MAX($L$16+24,6)))</f>
        <v>0</v>
      </c>
      <c r="I40" s="37" t="n">
        <f aca="false">$F$16*(MAX(0,MIN($L$16+$M$16,7+1)-MAX($L$16,7))+MAX(0,MIN($L$16-24+$M$16,7+1)-MAX($L$16-24,7))+MAX(0,MIN($L$16+24+$M$16,7+1)-MAX($L$16+24,7)))</f>
        <v>0</v>
      </c>
      <c r="J40" s="37" t="n">
        <f aca="false">$F$16*(MAX(0,MIN($L$16+$M$16,8+1)-MAX($L$16,8))+MAX(0,MIN($L$16-24+$M$16,8+1)-MAX($L$16-24,8))+MAX(0,MIN($L$16+24+$M$16,8+1)-MAX($L$16+24,8)))</f>
        <v>1.57080990337962</v>
      </c>
      <c r="K40" s="37" t="n">
        <f aca="false">$F$16*(MAX(0,MIN($L$16+$M$16,9+1)-MAX($L$16,9))+MAX(0,MIN($L$16-24+$M$16,9+1)-MAX($L$16-24,9))+MAX(0,MIN($L$16+24+$M$16,9+1)-MAX($L$16+24,9)))</f>
        <v>1.57080990337962</v>
      </c>
      <c r="L40" s="37" t="n">
        <f aca="false">$F$16*(MAX(0,MIN($L$16+$M$16,10+1)-MAX($L$16,10))+MAX(0,MIN($L$16-24+$M$16,10+1)-MAX($L$16-24,10))+MAX(0,MIN($L$16+24+$M$16,10+1)-MAX($L$16+24,10)))</f>
        <v>1.57080990337962</v>
      </c>
      <c r="M40" s="37" t="n">
        <f aca="false">$F$16*(MAX(0,MIN($L$16+$M$16,11+1)-MAX($L$16,11))+MAX(0,MIN($L$16-24+$M$16,11+1)-MAX($L$16-24,11))+MAX(0,MIN($L$16+24+$M$16,11+1)-MAX($L$16+24,11)))</f>
        <v>1.57080990337962</v>
      </c>
      <c r="N40" s="37" t="n">
        <f aca="false">$F$16*(MAX(0,MIN($L$16+$M$16,12+1)-MAX($L$16,12))+MAX(0,MIN($L$16-24+$M$16,12+1)-MAX($L$16-24,12))+MAX(0,MIN($L$16+24+$M$16,12+1)-MAX($L$16+24,12)))</f>
        <v>1.57080990337962</v>
      </c>
      <c r="O40" s="37" t="n">
        <f aca="false">$F$16*(MAX(0,MIN($L$16+$M$16,13+1)-MAX($L$16,13))+MAX(0,MIN($L$16-24+$M$16,13+1)-MAX($L$16-24,13))+MAX(0,MIN($L$16+24+$M$16,13+1)-MAX($L$16+24,13)))</f>
        <v>1.57080990337962</v>
      </c>
      <c r="P40" s="37" t="n">
        <f aca="false">$F$16*(MAX(0,MIN($L$16+$M$16,14+1)-MAX($L$16,14))+MAX(0,MIN($L$16-24+$M$16,14+1)-MAX($L$16-24,14))+MAX(0,MIN($L$16+24+$M$16,14+1)-MAX($L$16+24,14)))</f>
        <v>0</v>
      </c>
      <c r="Q40" s="37" t="n">
        <f aca="false">$F$16*(MAX(0,MIN($L$16+$M$16,15+1)-MAX($L$16,15))+MAX(0,MIN($L$16-24+$M$16,15+1)-MAX($L$16-24,15))+MAX(0,MIN($L$16+24+$M$16,15+1)-MAX($L$16+24,15)))</f>
        <v>0</v>
      </c>
      <c r="R40" s="37" t="n">
        <f aca="false">$F$16*(MAX(0,MIN($L$16+$M$16,16+1)-MAX($L$16,16))+MAX(0,MIN($L$16-24+$M$16,16+1)-MAX($L$16-24,16))+MAX(0,MIN($L$16+24+$M$16,16+1)-MAX($L$16+24,16)))</f>
        <v>0</v>
      </c>
      <c r="S40" s="37" t="n">
        <f aca="false">$F$16*(MAX(0,MIN($L$16+$M$16,17+1)-MAX($L$16,17))+MAX(0,MIN($L$16-24+$M$16,17+1)-MAX($L$16-24,17))+MAX(0,MIN($L$16+24+$M$16,17+1)-MAX($L$16+24,17)))</f>
        <v>0</v>
      </c>
      <c r="T40" s="37" t="n">
        <f aca="false">$F$16*(MAX(0,MIN($L$16+$M$16,18+1)-MAX($L$16,18))+MAX(0,MIN($L$16-24+$M$16,18+1)-MAX($L$16-24,18))+MAX(0,MIN($L$16+24+$M$16,18+1)-MAX($L$16+24,18)))</f>
        <v>0</v>
      </c>
      <c r="U40" s="37" t="n">
        <f aca="false">$F$16*(MAX(0,MIN($L$16+$M$16,19+1)-MAX($L$16,19))+MAX(0,MIN($L$16-24+$M$16,19+1)-MAX($L$16-24,19))+MAX(0,MIN($L$16+24+$M$16,19+1)-MAX($L$16+24,19)))</f>
        <v>0</v>
      </c>
      <c r="V40" s="37" t="n">
        <f aca="false">$F$16*(MAX(0,MIN($L$16+$M$16,20+1)-MAX($L$16,20))+MAX(0,MIN($L$16-24+$M$16,20+1)-MAX($L$16-24,20))+MAX(0,MIN($L$16+24+$M$16,20+1)-MAX($L$16+24,20)))</f>
        <v>0</v>
      </c>
      <c r="W40" s="37" t="n">
        <f aca="false">$F$16*(MAX(0,MIN($L$16+$M$16,21+1)-MAX($L$16,21))+MAX(0,MIN($L$16-24+$M$16,21+1)-MAX($L$16-24,21))+MAX(0,MIN($L$16+24+$M$16,21+1)-MAX($L$16+24,21)))</f>
        <v>0</v>
      </c>
      <c r="X40" s="37" t="n">
        <f aca="false">$F$16*(MAX(0,MIN($L$16+$M$16,22+1)-MAX($L$16,22))+MAX(0,MIN($L$16-24+$M$16,22+1)-MAX($L$16-24,22))+MAX(0,MIN($L$16+24+$M$16,22+1)-MAX($L$16+24,22)))</f>
        <v>0</v>
      </c>
      <c r="Y40" s="37" t="n">
        <f aca="false">$F$16*(MAX(0,MIN($L$16+$M$16,23+1)-MAX($L$16,23))+MAX(0,MIN($L$16-24+$M$16,23+1)-MAX($L$16-24,23))+MAX(0,MIN($L$16+24+$M$16,23+1)-MAX($L$16+24,23)))</f>
        <v>0</v>
      </c>
      <c r="Z40" s="37" t="n">
        <f aca="false">SUM(B40:Y40)</f>
        <v>9.4248594202777</v>
      </c>
    </row>
    <row r="41" customFormat="false" ht="15" hidden="false" customHeight="false" outlineLevel="0" collapsed="false">
      <c r="A41" s="7" t="str">
        <f aca="false">B17</f>
        <v>Lighting</v>
      </c>
      <c r="B41" s="37" t="n">
        <f aca="false">$F$17*(MAX(0,MIN($L$17+$M$17,0+1)-MAX($L$17,0))+MAX(0,MIN($L$17-24+$M$17,0+1)-MAX($L$17-24,0))+MAX(0,MIN($L$17+24+$M$17,0+1)-MAX($L$17+24,0)))</f>
        <v>1.2</v>
      </c>
      <c r="C41" s="37" t="n">
        <f aca="false">$F$17*(MAX(0,MIN($L$17+$M$17,1+1)-MAX($L$17,1))+MAX(0,MIN($L$17-24+$M$17,1+1)-MAX($L$17-24,1))+MAX(0,MIN($L$17+24+$M$17,1+1)-MAX($L$17+24,1)))</f>
        <v>1.2</v>
      </c>
      <c r="D41" s="37" t="n">
        <f aca="false">$F$17*(MAX(0,MIN($L$17+$M$17,2+1)-MAX($L$17,2))+MAX(0,MIN($L$17-24+$M$17,2+1)-MAX($L$17-24,2))+MAX(0,MIN($L$17+24+$M$17,2+1)-MAX($L$17+24,2)))</f>
        <v>1.2</v>
      </c>
      <c r="E41" s="37" t="n">
        <f aca="false">$F$17*(MAX(0,MIN($L$17+$M$17,3+1)-MAX($L$17,3))+MAX(0,MIN($L$17-24+$M$17,3+1)-MAX($L$17-24,3))+MAX(0,MIN($L$17+24+$M$17,3+1)-MAX($L$17+24,3)))</f>
        <v>1.2</v>
      </c>
      <c r="F41" s="37" t="n">
        <f aca="false">$F$17*(MAX(0,MIN($L$17+$M$17,4+1)-MAX($L$17,4))+MAX(0,MIN($L$17-24+$M$17,4+1)-MAX($L$17-24,4))+MAX(0,MIN($L$17+24+$M$17,4+1)-MAX($L$17+24,4)))</f>
        <v>1.2</v>
      </c>
      <c r="G41" s="37" t="n">
        <f aca="false">$F$17*(MAX(0,MIN($L$17+$M$17,5+1)-MAX($L$17,5))+MAX(0,MIN($L$17-24+$M$17,5+1)-MAX($L$17-24,5))+MAX(0,MIN($L$17+24+$M$17,5+1)-MAX($L$17+24,5)))</f>
        <v>1.2</v>
      </c>
      <c r="H41" s="37" t="n">
        <f aca="false">$F$17*(MAX(0,MIN($L$17+$M$17,6+1)-MAX($L$17,6))+MAX(0,MIN($L$17-24+$M$17,6+1)-MAX($L$17-24,6))+MAX(0,MIN($L$17+24+$M$17,6+1)-MAX($L$17+24,6)))</f>
        <v>0</v>
      </c>
      <c r="I41" s="37" t="n">
        <f aca="false">$F$17*(MAX(0,MIN($L$17+$M$17,7+1)-MAX($L$17,7))+MAX(0,MIN($L$17-24+$M$17,7+1)-MAX($L$17-24,7))+MAX(0,MIN($L$17+24+$M$17,7+1)-MAX($L$17+24,7)))</f>
        <v>0</v>
      </c>
      <c r="J41" s="37" t="n">
        <f aca="false">$F$17*(MAX(0,MIN($L$17+$M$17,8+1)-MAX($L$17,8))+MAX(0,MIN($L$17-24+$M$17,8+1)-MAX($L$17-24,8))+MAX(0,MIN($L$17+24+$M$17,8+1)-MAX($L$17+24,8)))</f>
        <v>0</v>
      </c>
      <c r="K41" s="37" t="n">
        <f aca="false">$F$17*(MAX(0,MIN($L$17+$M$17,9+1)-MAX($L$17,9))+MAX(0,MIN($L$17-24+$M$17,9+1)-MAX($L$17-24,9))+MAX(0,MIN($L$17+24+$M$17,9+1)-MAX($L$17+24,9)))</f>
        <v>0</v>
      </c>
      <c r="L41" s="37" t="n">
        <f aca="false">$F$17*(MAX(0,MIN($L$17+$M$17,10+1)-MAX($L$17,10))+MAX(0,MIN($L$17-24+$M$17,10+1)-MAX($L$17-24,10))+MAX(0,MIN($L$17+24+$M$17,10+1)-MAX($L$17+24,10)))</f>
        <v>0</v>
      </c>
      <c r="M41" s="37" t="n">
        <f aca="false">$F$17*(MAX(0,MIN($L$17+$M$17,11+1)-MAX($L$17,11))+MAX(0,MIN($L$17-24+$M$17,11+1)-MAX($L$17-24,11))+MAX(0,MIN($L$17+24+$M$17,11+1)-MAX($L$17+24,11)))</f>
        <v>0</v>
      </c>
      <c r="N41" s="37" t="n">
        <f aca="false">$F$17*(MAX(0,MIN($L$17+$M$17,12+1)-MAX($L$17,12))+MAX(0,MIN($L$17-24+$M$17,12+1)-MAX($L$17-24,12))+MAX(0,MIN($L$17+24+$M$17,12+1)-MAX($L$17+24,12)))</f>
        <v>0</v>
      </c>
      <c r="O41" s="37" t="n">
        <f aca="false">$F$17*(MAX(0,MIN($L$17+$M$17,13+1)-MAX($L$17,13))+MAX(0,MIN($L$17-24+$M$17,13+1)-MAX($L$17-24,13))+MAX(0,MIN($L$17+24+$M$17,13+1)-MAX($L$17+24,13)))</f>
        <v>0</v>
      </c>
      <c r="P41" s="37" t="n">
        <f aca="false">$F$17*(MAX(0,MIN($L$17+$M$17,14+1)-MAX($L$17,14))+MAX(0,MIN($L$17-24+$M$17,14+1)-MAX($L$17-24,14))+MAX(0,MIN($L$17+24+$M$17,14+1)-MAX($L$17+24,14)))</f>
        <v>0</v>
      </c>
      <c r="Q41" s="37" t="n">
        <f aca="false">$F$17*(MAX(0,MIN($L$17+$M$17,15+1)-MAX($L$17,15))+MAX(0,MIN($L$17-24+$M$17,15+1)-MAX($L$17-24,15))+MAX(0,MIN($L$17+24+$M$17,15+1)-MAX($L$17+24,15)))</f>
        <v>0</v>
      </c>
      <c r="R41" s="37" t="n">
        <f aca="false">$F$17*(MAX(0,MIN($L$17+$M$17,16+1)-MAX($L$17,16))+MAX(0,MIN($L$17-24+$M$17,16+1)-MAX($L$17-24,16))+MAX(0,MIN($L$17+24+$M$17,16+1)-MAX($L$17+24,16)))</f>
        <v>0</v>
      </c>
      <c r="S41" s="37" t="n">
        <f aca="false">$F$17*(MAX(0,MIN($L$17+$M$17,17+1)-MAX($L$17,17))+MAX(0,MIN($L$17-24+$M$17,17+1)-MAX($L$17-24,17))+MAX(0,MIN($L$17+24+$M$17,17+1)-MAX($L$17+24,17)))</f>
        <v>0</v>
      </c>
      <c r="T41" s="37" t="n">
        <f aca="false">$F$17*(MAX(0,MIN($L$17+$M$17,18+1)-MAX($L$17,18))+MAX(0,MIN($L$17-24+$M$17,18+1)-MAX($L$17-24,18))+MAX(0,MIN($L$17+24+$M$17,18+1)-MAX($L$17+24,18)))</f>
        <v>1.2</v>
      </c>
      <c r="U41" s="37" t="n">
        <f aca="false">$F$17*(MAX(0,MIN($L$17+$M$17,19+1)-MAX($L$17,19))+MAX(0,MIN($L$17-24+$M$17,19+1)-MAX($L$17-24,19))+MAX(0,MIN($L$17+24+$M$17,19+1)-MAX($L$17+24,19)))</f>
        <v>1.2</v>
      </c>
      <c r="V41" s="37" t="n">
        <f aca="false">$F$17*(MAX(0,MIN($L$17+$M$17,20+1)-MAX($L$17,20))+MAX(0,MIN($L$17-24+$M$17,20+1)-MAX($L$17-24,20))+MAX(0,MIN($L$17+24+$M$17,20+1)-MAX($L$17+24,20)))</f>
        <v>1.2</v>
      </c>
      <c r="W41" s="37" t="n">
        <f aca="false">$F$17*(MAX(0,MIN($L$17+$M$17,21+1)-MAX($L$17,21))+MAX(0,MIN($L$17-24+$M$17,21+1)-MAX($L$17-24,21))+MAX(0,MIN($L$17+24+$M$17,21+1)-MAX($L$17+24,21)))</f>
        <v>1.2</v>
      </c>
      <c r="X41" s="37" t="n">
        <f aca="false">$F$17*(MAX(0,MIN($L$17+$M$17,22+1)-MAX($L$17,22))+MAX(0,MIN($L$17-24+$M$17,22+1)-MAX($L$17-24,22))+MAX(0,MIN($L$17+24+$M$17,22+1)-MAX($L$17+24,22)))</f>
        <v>1.2</v>
      </c>
      <c r="Y41" s="37" t="n">
        <f aca="false">$F$17*(MAX(0,MIN($L$17+$M$17,23+1)-MAX($L$17,23))+MAX(0,MIN($L$17-24+$M$17,23+1)-MAX($L$17-24,23))+MAX(0,MIN($L$17+24+$M$17,23+1)-MAX($L$17+24,23)))</f>
        <v>1.2</v>
      </c>
      <c r="Z41" s="37" t="n">
        <f aca="false">SUM(B41:Y41)</f>
        <v>14.4</v>
      </c>
    </row>
    <row r="42" customFormat="false" ht="15" hidden="false" customHeight="false" outlineLevel="0" collapsed="false">
      <c r="A42" s="7" t="str">
        <f aca="false">B18</f>
        <v>Socket outlets</v>
      </c>
      <c r="B42" s="37" t="n">
        <f aca="false">$F$18*(MAX(0,MIN($L$18+$M$18,0+1)-MAX($L$18,0))+MAX(0,MIN($L$18-24+$M$18,0+1)-MAX($L$18-24,0))+MAX(0,MIN($L$18+24+$M$18,0+1)-MAX($L$18+24,0)))</f>
        <v>0</v>
      </c>
      <c r="C42" s="37" t="n">
        <f aca="false">$F$18*(MAX(0,MIN($L$18+$M$18,1+1)-MAX($L$18,1))+MAX(0,MIN($L$18-24+$M$18,1+1)-MAX($L$18-24,1))+MAX(0,MIN($L$18+24+$M$18,1+1)-MAX($L$18+24,1)))</f>
        <v>0</v>
      </c>
      <c r="D42" s="37" t="n">
        <f aca="false">$F$18*(MAX(0,MIN($L$18+$M$18,2+1)-MAX($L$18,2))+MAX(0,MIN($L$18-24+$M$18,2+1)-MAX($L$18-24,2))+MAX(0,MIN($L$18+24+$M$18,2+1)-MAX($L$18+24,2)))</f>
        <v>0</v>
      </c>
      <c r="E42" s="37" t="n">
        <f aca="false">$F$18*(MAX(0,MIN($L$18+$M$18,3+1)-MAX($L$18,3))+MAX(0,MIN($L$18-24+$M$18,3+1)-MAX($L$18-24,3))+MAX(0,MIN($L$18+24+$M$18,3+1)-MAX($L$18+24,3)))</f>
        <v>0</v>
      </c>
      <c r="F42" s="37" t="n">
        <f aca="false">$F$18*(MAX(0,MIN($L$18+$M$18,4+1)-MAX($L$18,4))+MAX(0,MIN($L$18-24+$M$18,4+1)-MAX($L$18-24,4))+MAX(0,MIN($L$18+24+$M$18,4+1)-MAX($L$18+24,4)))</f>
        <v>0</v>
      </c>
      <c r="G42" s="37" t="n">
        <f aca="false">$F$18*(MAX(0,MIN($L$18+$M$18,5+1)-MAX($L$18,5))+MAX(0,MIN($L$18-24+$M$18,5+1)-MAX($L$18-24,5))+MAX(0,MIN($L$18+24+$M$18,5+1)-MAX($L$18+24,5)))</f>
        <v>0</v>
      </c>
      <c r="H42" s="37" t="n">
        <f aca="false">$F$18*(MAX(0,MIN($L$18+$M$18,6+1)-MAX($L$18,6))+MAX(0,MIN($L$18-24+$M$18,6+1)-MAX($L$18-24,6))+MAX(0,MIN($L$18+24+$M$18,6+1)-MAX($L$18+24,6)))</f>
        <v>0</v>
      </c>
      <c r="I42" s="37" t="n">
        <f aca="false">$F$18*(MAX(0,MIN($L$18+$M$18,7+1)-MAX($L$18,7))+MAX(0,MIN($L$18-24+$M$18,7+1)-MAX($L$18-24,7))+MAX(0,MIN($L$18+24+$M$18,7+1)-MAX($L$18+24,7)))</f>
        <v>0</v>
      </c>
      <c r="J42" s="37" t="n">
        <f aca="false">$F$18*(MAX(0,MIN($L$18+$M$18,8+1)-MAX($L$18,8))+MAX(0,MIN($L$18-24+$M$18,8+1)-MAX($L$18-24,8))+MAX(0,MIN($L$18+24+$M$18,8+1)-MAX($L$18+24,8)))</f>
        <v>0.6</v>
      </c>
      <c r="K42" s="37" t="n">
        <f aca="false">$F$18*(MAX(0,MIN($L$18+$M$18,9+1)-MAX($L$18,9))+MAX(0,MIN($L$18-24+$M$18,9+1)-MAX($L$18-24,9))+MAX(0,MIN($L$18+24+$M$18,9+1)-MAX($L$18+24,9)))</f>
        <v>0.6</v>
      </c>
      <c r="L42" s="37" t="n">
        <f aca="false">$F$18*(MAX(0,MIN($L$18+$M$18,10+1)-MAX($L$18,10))+MAX(0,MIN($L$18-24+$M$18,10+1)-MAX($L$18-24,10))+MAX(0,MIN($L$18+24+$M$18,10+1)-MAX($L$18+24,10)))</f>
        <v>0.6</v>
      </c>
      <c r="M42" s="37" t="n">
        <f aca="false">$F$18*(MAX(0,MIN($L$18+$M$18,11+1)-MAX($L$18,11))+MAX(0,MIN($L$18-24+$M$18,11+1)-MAX($L$18-24,11))+MAX(0,MIN($L$18+24+$M$18,11+1)-MAX($L$18+24,11)))</f>
        <v>0.6</v>
      </c>
      <c r="N42" s="37" t="n">
        <f aca="false">$F$18*(MAX(0,MIN($L$18+$M$18,12+1)-MAX($L$18,12))+MAX(0,MIN($L$18-24+$M$18,12+1)-MAX($L$18-24,12))+MAX(0,MIN($L$18+24+$M$18,12+1)-MAX($L$18+24,12)))</f>
        <v>0</v>
      </c>
      <c r="O42" s="37" t="n">
        <f aca="false">$F$18*(MAX(0,MIN($L$18+$M$18,13+1)-MAX($L$18,13))+MAX(0,MIN($L$18-24+$M$18,13+1)-MAX($L$18-24,13))+MAX(0,MIN($L$18+24+$M$18,13+1)-MAX($L$18+24,13)))</f>
        <v>0</v>
      </c>
      <c r="P42" s="37" t="n">
        <f aca="false">$F$18*(MAX(0,MIN($L$18+$M$18,14+1)-MAX($L$18,14))+MAX(0,MIN($L$18-24+$M$18,14+1)-MAX($L$18-24,14))+MAX(0,MIN($L$18+24+$M$18,14+1)-MAX($L$18+24,14)))</f>
        <v>0</v>
      </c>
      <c r="Q42" s="37" t="n">
        <f aca="false">$F$18*(MAX(0,MIN($L$18+$M$18,15+1)-MAX($L$18,15))+MAX(0,MIN($L$18-24+$M$18,15+1)-MAX($L$18-24,15))+MAX(0,MIN($L$18+24+$M$18,15+1)-MAX($L$18+24,15)))</f>
        <v>0</v>
      </c>
      <c r="R42" s="37" t="n">
        <f aca="false">$F$18*(MAX(0,MIN($L$18+$M$18,16+1)-MAX($L$18,16))+MAX(0,MIN($L$18-24+$M$18,16+1)-MAX($L$18-24,16))+MAX(0,MIN($L$18+24+$M$18,16+1)-MAX($L$18+24,16)))</f>
        <v>0</v>
      </c>
      <c r="S42" s="37" t="n">
        <f aca="false">$F$18*(MAX(0,MIN($L$18+$M$18,17+1)-MAX($L$18,17))+MAX(0,MIN($L$18-24+$M$18,17+1)-MAX($L$18-24,17))+MAX(0,MIN($L$18+24+$M$18,17+1)-MAX($L$18+24,17)))</f>
        <v>0</v>
      </c>
      <c r="T42" s="37" t="n">
        <f aca="false">$F$18*(MAX(0,MIN($L$18+$M$18,18+1)-MAX($L$18,18))+MAX(0,MIN($L$18-24+$M$18,18+1)-MAX($L$18-24,18))+MAX(0,MIN($L$18+24+$M$18,18+1)-MAX($L$18+24,18)))</f>
        <v>0</v>
      </c>
      <c r="U42" s="37" t="n">
        <f aca="false">$F$18*(MAX(0,MIN($L$18+$M$18,19+1)-MAX($L$18,19))+MAX(0,MIN($L$18-24+$M$18,19+1)-MAX($L$18-24,19))+MAX(0,MIN($L$18+24+$M$18,19+1)-MAX($L$18+24,19)))</f>
        <v>0</v>
      </c>
      <c r="V42" s="37" t="n">
        <f aca="false">$F$18*(MAX(0,MIN($L$18+$M$18,20+1)-MAX($L$18,20))+MAX(0,MIN($L$18-24+$M$18,20+1)-MAX($L$18-24,20))+MAX(0,MIN($L$18+24+$M$18,20+1)-MAX($L$18+24,20)))</f>
        <v>0</v>
      </c>
      <c r="W42" s="37" t="n">
        <f aca="false">$F$18*(MAX(0,MIN($L$18+$M$18,21+1)-MAX($L$18,21))+MAX(0,MIN($L$18-24+$M$18,21+1)-MAX($L$18-24,21))+MAX(0,MIN($L$18+24+$M$18,21+1)-MAX($L$18+24,21)))</f>
        <v>0</v>
      </c>
      <c r="X42" s="37" t="n">
        <f aca="false">$F$18*(MAX(0,MIN($L$18+$M$18,22+1)-MAX($L$18,22))+MAX(0,MIN($L$18-24+$M$18,22+1)-MAX($L$18-24,22))+MAX(0,MIN($L$18+24+$M$18,22+1)-MAX($L$18+24,22)))</f>
        <v>0</v>
      </c>
      <c r="Y42" s="37" t="n">
        <f aca="false">$F$18*(MAX(0,MIN($L$18+$M$18,23+1)-MAX($L$18,23))+MAX(0,MIN($L$18-24+$M$18,23+1)-MAX($L$18-24,23))+MAX(0,MIN($L$18+24+$M$18,23+1)-MAX($L$18+24,23)))</f>
        <v>0</v>
      </c>
      <c r="Z42" s="37" t="n">
        <f aca="false">SUM(B42:Y42)</f>
        <v>2.4</v>
      </c>
    </row>
    <row r="43" customFormat="false" ht="15" hidden="false" customHeight="false" outlineLevel="0" collapsed="false">
      <c r="A43" s="7" t="str">
        <f aca="false">B19</f>
        <v>Chemical dosing pumps (4 nos)</v>
      </c>
      <c r="B43" s="37" t="n">
        <f aca="false">$F$19*(MAX(0,MIN($L$19+$M$19,0+1)-MAX($L$19,0))+MAX(0,MIN($L$19-24+$M$19,0+1)-MAX($L$19-24,0))+MAX(0,MIN($L$19+24+$M$19,0+1)-MAX($L$19+24,0)))</f>
        <v>0</v>
      </c>
      <c r="C43" s="37" t="n">
        <f aca="false">$F$19*(MAX(0,MIN($L$19+$M$19,1+1)-MAX($L$19,1))+MAX(0,MIN($L$19-24+$M$19,1+1)-MAX($L$19-24,1))+MAX(0,MIN($L$19+24+$M$19,1+1)-MAX($L$19+24,1)))</f>
        <v>0</v>
      </c>
      <c r="D43" s="37" t="n">
        <f aca="false">$F$19*(MAX(0,MIN($L$19+$M$19,2+1)-MAX($L$19,2))+MAX(0,MIN($L$19-24+$M$19,2+1)-MAX($L$19-24,2))+MAX(0,MIN($L$19+24+$M$19,2+1)-MAX($L$19+24,2)))</f>
        <v>0</v>
      </c>
      <c r="E43" s="37" t="n">
        <f aca="false">$F$19*(MAX(0,MIN($L$19+$M$19,3+1)-MAX($L$19,3))+MAX(0,MIN($L$19-24+$M$19,3+1)-MAX($L$19-24,3))+MAX(0,MIN($L$19+24+$M$19,3+1)-MAX($L$19+24,3)))</f>
        <v>0</v>
      </c>
      <c r="F43" s="37" t="n">
        <f aca="false">$F$19*(MAX(0,MIN($L$19+$M$19,4+1)-MAX($L$19,4))+MAX(0,MIN($L$19-24+$M$19,4+1)-MAX($L$19-24,4))+MAX(0,MIN($L$19+24+$M$19,4+1)-MAX($L$19+24,4)))</f>
        <v>0</v>
      </c>
      <c r="G43" s="37" t="n">
        <f aca="false">$F$19*(MAX(0,MIN($L$19+$M$19,5+1)-MAX($L$19,5))+MAX(0,MIN($L$19-24+$M$19,5+1)-MAX($L$19-24,5))+MAX(0,MIN($L$19+24+$M$19,5+1)-MAX($L$19+24,5)))</f>
        <v>0</v>
      </c>
      <c r="H43" s="37" t="n">
        <f aca="false">$F$19*(MAX(0,MIN($L$19+$M$19,6+1)-MAX($L$19,6))+MAX(0,MIN($L$19-24+$M$19,6+1)-MAX($L$19-24,6))+MAX(0,MIN($L$19+24+$M$19,6+1)-MAX($L$19+24,6)))</f>
        <v>0</v>
      </c>
      <c r="I43" s="37" t="n">
        <f aca="false">$F$19*(MAX(0,MIN($L$19+$M$19,7+1)-MAX($L$19,7))+MAX(0,MIN($L$19-24+$M$19,7+1)-MAX($L$19-24,7))+MAX(0,MIN($L$19+24+$M$19,7+1)-MAX($L$19+24,7)))</f>
        <v>0</v>
      </c>
      <c r="J43" s="37" t="n">
        <f aca="false">$F$19*(MAX(0,MIN($L$19+$M$19,8+1)-MAX($L$19,8))+MAX(0,MIN($L$19-24+$M$19,8+1)-MAX($L$19-24,8))+MAX(0,MIN($L$19+24+$M$19,8+1)-MAX($L$19+24,8)))</f>
        <v>0.375</v>
      </c>
      <c r="K43" s="37" t="n">
        <f aca="false">$F$19*(MAX(0,MIN($L$19+$M$19,9+1)-MAX($L$19,9))+MAX(0,MIN($L$19-24+$M$19,9+1)-MAX($L$19-24,9))+MAX(0,MIN($L$19+24+$M$19,9+1)-MAX($L$19+24,9)))</f>
        <v>0.375</v>
      </c>
      <c r="L43" s="37" t="n">
        <f aca="false">$F$19*(MAX(0,MIN($L$19+$M$19,10+1)-MAX($L$19,10))+MAX(0,MIN($L$19-24+$M$19,10+1)-MAX($L$19-24,10))+MAX(0,MIN($L$19+24+$M$19,10+1)-MAX($L$19+24,10)))</f>
        <v>0.375</v>
      </c>
      <c r="M43" s="37" t="n">
        <f aca="false">$F$19*(MAX(0,MIN($L$19+$M$19,11+1)-MAX($L$19,11))+MAX(0,MIN($L$19-24+$M$19,11+1)-MAX($L$19-24,11))+MAX(0,MIN($L$19+24+$M$19,11+1)-MAX($L$19+24,11)))</f>
        <v>0.375</v>
      </c>
      <c r="N43" s="37" t="n">
        <f aca="false">$F$19*(MAX(0,MIN($L$19+$M$19,12+1)-MAX($L$19,12))+MAX(0,MIN($L$19-24+$M$19,12+1)-MAX($L$19-24,12))+MAX(0,MIN($L$19+24+$M$19,12+1)-MAX($L$19+24,12)))</f>
        <v>0.375</v>
      </c>
      <c r="O43" s="37" t="n">
        <f aca="false">$F$19*(MAX(0,MIN($L$19+$M$19,13+1)-MAX($L$19,13))+MAX(0,MIN($L$19-24+$M$19,13+1)-MAX($L$19-24,13))+MAX(0,MIN($L$19+24+$M$19,13+1)-MAX($L$19+24,13)))</f>
        <v>0.375</v>
      </c>
      <c r="P43" s="37" t="n">
        <f aca="false">$F$19*(MAX(0,MIN($L$19+$M$19,14+1)-MAX($L$19,14))+MAX(0,MIN($L$19-24+$M$19,14+1)-MAX($L$19-24,14))+MAX(0,MIN($L$19+24+$M$19,14+1)-MAX($L$19+24,14)))</f>
        <v>0</v>
      </c>
      <c r="Q43" s="37" t="n">
        <f aca="false">$F$19*(MAX(0,MIN($L$19+$M$19,15+1)-MAX($L$19,15))+MAX(0,MIN($L$19-24+$M$19,15+1)-MAX($L$19-24,15))+MAX(0,MIN($L$19+24+$M$19,15+1)-MAX($L$19+24,15)))</f>
        <v>0</v>
      </c>
      <c r="R43" s="37" t="n">
        <f aca="false">$F$19*(MAX(0,MIN($L$19+$M$19,16+1)-MAX($L$19,16))+MAX(0,MIN($L$19-24+$M$19,16+1)-MAX($L$19-24,16))+MAX(0,MIN($L$19+24+$M$19,16+1)-MAX($L$19+24,16)))</f>
        <v>0</v>
      </c>
      <c r="S43" s="37" t="n">
        <f aca="false">$F$19*(MAX(0,MIN($L$19+$M$19,17+1)-MAX($L$19,17))+MAX(0,MIN($L$19-24+$M$19,17+1)-MAX($L$19-24,17))+MAX(0,MIN($L$19+24+$M$19,17+1)-MAX($L$19+24,17)))</f>
        <v>0</v>
      </c>
      <c r="T43" s="37" t="n">
        <f aca="false">$F$19*(MAX(0,MIN($L$19+$M$19,18+1)-MAX($L$19,18))+MAX(0,MIN($L$19-24+$M$19,18+1)-MAX($L$19-24,18))+MAX(0,MIN($L$19+24+$M$19,18+1)-MAX($L$19+24,18)))</f>
        <v>0</v>
      </c>
      <c r="U43" s="37" t="n">
        <f aca="false">$F$19*(MAX(0,MIN($L$19+$M$19,19+1)-MAX($L$19,19))+MAX(0,MIN($L$19-24+$M$19,19+1)-MAX($L$19-24,19))+MAX(0,MIN($L$19+24+$M$19,19+1)-MAX($L$19+24,19)))</f>
        <v>0</v>
      </c>
      <c r="V43" s="37" t="n">
        <f aca="false">$F$19*(MAX(0,MIN($L$19+$M$19,20+1)-MAX($L$19,20))+MAX(0,MIN($L$19-24+$M$19,20+1)-MAX($L$19-24,20))+MAX(0,MIN($L$19+24+$M$19,20+1)-MAX($L$19+24,20)))</f>
        <v>0</v>
      </c>
      <c r="W43" s="37" t="n">
        <f aca="false">$F$19*(MAX(0,MIN($L$19+$M$19,21+1)-MAX($L$19,21))+MAX(0,MIN($L$19-24+$M$19,21+1)-MAX($L$19-24,21))+MAX(0,MIN($L$19+24+$M$19,21+1)-MAX($L$19+24,21)))</f>
        <v>0</v>
      </c>
      <c r="X43" s="37" t="n">
        <f aca="false">$F$19*(MAX(0,MIN($L$19+$M$19,22+1)-MAX($L$19,22))+MAX(0,MIN($L$19-24+$M$19,22+1)-MAX($L$19-24,22))+MAX(0,MIN($L$19+24+$M$19,22+1)-MAX($L$19+24,22)))</f>
        <v>0</v>
      </c>
      <c r="Y43" s="37" t="n">
        <f aca="false">$F$19*(MAX(0,MIN($L$19+$M$19,23+1)-MAX($L$19,23))+MAX(0,MIN($L$19-24+$M$19,23+1)-MAX($L$19-24,23))+MAX(0,MIN($L$19+24+$M$19,23+1)-MAX($L$19+24,23)))</f>
        <v>0</v>
      </c>
      <c r="Z43" s="37" t="n">
        <f aca="false">SUM(B43:Y43)</f>
        <v>2.25</v>
      </c>
    </row>
    <row r="44" customFormat="false" ht="15" hidden="false" customHeight="false" outlineLevel="0" collapsed="false">
      <c r="A44" s="7" t="str">
        <f aca="false">B20</f>
        <v>Agitators (4 nos)</v>
      </c>
      <c r="B44" s="37" t="n">
        <f aca="false">$F$20*(MAX(0,MIN($L$20+$M$20,0+1)-MAX($L$20,0))+MAX(0,MIN($L$20-24+$M$20,0+1)-MAX($L$20-24,0))+MAX(0,MIN($L$20+24+$M$20,0+1)-MAX($L$20+24,0)))</f>
        <v>0</v>
      </c>
      <c r="C44" s="37" t="n">
        <f aca="false">$F$20*(MAX(0,MIN($L$20+$M$20,1+1)-MAX($L$20,1))+MAX(0,MIN($L$20-24+$M$20,1+1)-MAX($L$20-24,1))+MAX(0,MIN($L$20+24+$M$20,1+1)-MAX($L$20+24,1)))</f>
        <v>0</v>
      </c>
      <c r="D44" s="37" t="n">
        <f aca="false">$F$20*(MAX(0,MIN($L$20+$M$20,2+1)-MAX($L$20,2))+MAX(0,MIN($L$20-24+$M$20,2+1)-MAX($L$20-24,2))+MAX(0,MIN($L$20+24+$M$20,2+1)-MAX($L$20+24,2)))</f>
        <v>0</v>
      </c>
      <c r="E44" s="37" t="n">
        <f aca="false">$F$20*(MAX(0,MIN($L$20+$M$20,3+1)-MAX($L$20,3))+MAX(0,MIN($L$20-24+$M$20,3+1)-MAX($L$20-24,3))+MAX(0,MIN($L$20+24+$M$20,3+1)-MAX($L$20+24,3)))</f>
        <v>0</v>
      </c>
      <c r="F44" s="37" t="n">
        <f aca="false">$F$20*(MAX(0,MIN($L$20+$M$20,4+1)-MAX($L$20,4))+MAX(0,MIN($L$20-24+$M$20,4+1)-MAX($L$20-24,4))+MAX(0,MIN($L$20+24+$M$20,4+1)-MAX($L$20+24,4)))</f>
        <v>0</v>
      </c>
      <c r="G44" s="37" t="n">
        <f aca="false">$F$20*(MAX(0,MIN($L$20+$M$20,5+1)-MAX($L$20,5))+MAX(0,MIN($L$20-24+$M$20,5+1)-MAX($L$20-24,5))+MAX(0,MIN($L$20+24+$M$20,5+1)-MAX($L$20+24,5)))</f>
        <v>0</v>
      </c>
      <c r="H44" s="37" t="n">
        <f aca="false">$F$20*(MAX(0,MIN($L$20+$M$20,6+1)-MAX($L$20,6))+MAX(0,MIN($L$20-24+$M$20,6+1)-MAX($L$20-24,6))+MAX(0,MIN($L$20+24+$M$20,6+1)-MAX($L$20+24,6)))</f>
        <v>0</v>
      </c>
      <c r="I44" s="37" t="n">
        <f aca="false">$F$20*(MAX(0,MIN($L$20+$M$20,7+1)-MAX($L$20,7))+MAX(0,MIN($L$20-24+$M$20,7+1)-MAX($L$20-24,7))+MAX(0,MIN($L$20+24+$M$20,7+1)-MAX($L$20+24,7)))</f>
        <v>1.32142857142857</v>
      </c>
      <c r="J44" s="37" t="n">
        <f aca="false">$F$20*(MAX(0,MIN($L$20+$M$20,8+1)-MAX($L$20,8))+MAX(0,MIN($L$20-24+$M$20,8+1)-MAX($L$20-24,8))+MAX(0,MIN($L$20+24+$M$20,8+1)-MAX($L$20+24,8)))</f>
        <v>1.32142857142857</v>
      </c>
      <c r="K44" s="37" t="n">
        <f aca="false">$F$20*(MAX(0,MIN($L$20+$M$20,9+1)-MAX($L$20,9))+MAX(0,MIN($L$20-24+$M$20,9+1)-MAX($L$20-24,9))+MAX(0,MIN($L$20+24+$M$20,9+1)-MAX($L$20+24,9)))</f>
        <v>1.32142857142857</v>
      </c>
      <c r="L44" s="37" t="n">
        <f aca="false">$F$20*(MAX(0,MIN($L$20+$M$20,10+1)-MAX($L$20,10))+MAX(0,MIN($L$20-24+$M$20,10+1)-MAX($L$20-24,10))+MAX(0,MIN($L$20+24+$M$20,10+1)-MAX($L$20+24,10)))</f>
        <v>1.32142857142857</v>
      </c>
      <c r="M44" s="37" t="n">
        <f aca="false">$F$20*(MAX(0,MIN($L$20+$M$20,11+1)-MAX($L$20,11))+MAX(0,MIN($L$20-24+$M$20,11+1)-MAX($L$20-24,11))+MAX(0,MIN($L$20+24+$M$20,11+1)-MAX($L$20+24,11)))</f>
        <v>1.32142857142857</v>
      </c>
      <c r="N44" s="37" t="n">
        <f aca="false">$F$20*(MAX(0,MIN($L$20+$M$20,12+1)-MAX($L$20,12))+MAX(0,MIN($L$20-24+$M$20,12+1)-MAX($L$20-24,12))+MAX(0,MIN($L$20+24+$M$20,12+1)-MAX($L$20+24,12)))</f>
        <v>1.32142857142857</v>
      </c>
      <c r="O44" s="37" t="n">
        <f aca="false">$F$20*(MAX(0,MIN($L$20+$M$20,13+1)-MAX($L$20,13))+MAX(0,MIN($L$20-24+$M$20,13+1)-MAX($L$20-24,13))+MAX(0,MIN($L$20+24+$M$20,13+1)-MAX($L$20+24,13)))</f>
        <v>1.32142857142857</v>
      </c>
      <c r="P44" s="37" t="n">
        <f aca="false">$F$20*(MAX(0,MIN($L$20+$M$20,14+1)-MAX($L$20,14))+MAX(0,MIN($L$20-24+$M$20,14+1)-MAX($L$20-24,14))+MAX(0,MIN($L$20+24+$M$20,14+1)-MAX($L$20+24,14)))</f>
        <v>1.32142857142857</v>
      </c>
      <c r="Q44" s="37" t="n">
        <f aca="false">$F$20*(MAX(0,MIN($L$20+$M$20,15+1)-MAX($L$20,15))+MAX(0,MIN($L$20-24+$M$20,15+1)-MAX($L$20-24,15))+MAX(0,MIN($L$20+24+$M$20,15+1)-MAX($L$20+24,15)))</f>
        <v>0</v>
      </c>
      <c r="R44" s="37" t="n">
        <f aca="false">$F$20*(MAX(0,MIN($L$20+$M$20,16+1)-MAX($L$20,16))+MAX(0,MIN($L$20-24+$M$20,16+1)-MAX($L$20-24,16))+MAX(0,MIN($L$20+24+$M$20,16+1)-MAX($L$20+24,16)))</f>
        <v>0</v>
      </c>
      <c r="S44" s="37" t="n">
        <f aca="false">$F$20*(MAX(0,MIN($L$20+$M$20,17+1)-MAX($L$20,17))+MAX(0,MIN($L$20-24+$M$20,17+1)-MAX($L$20-24,17))+MAX(0,MIN($L$20+24+$M$20,17+1)-MAX($L$20+24,17)))</f>
        <v>0</v>
      </c>
      <c r="T44" s="37" t="n">
        <f aca="false">$F$20*(MAX(0,MIN($L$20+$M$20,18+1)-MAX($L$20,18))+MAX(0,MIN($L$20-24+$M$20,18+1)-MAX($L$20-24,18))+MAX(0,MIN($L$20+24+$M$20,18+1)-MAX($L$20+24,18)))</f>
        <v>0</v>
      </c>
      <c r="U44" s="37" t="n">
        <f aca="false">$F$20*(MAX(0,MIN($L$20+$M$20,19+1)-MAX($L$20,19))+MAX(0,MIN($L$20-24+$M$20,19+1)-MAX($L$20-24,19))+MAX(0,MIN($L$20+24+$M$20,19+1)-MAX($L$20+24,19)))</f>
        <v>0</v>
      </c>
      <c r="V44" s="37" t="n">
        <f aca="false">$F$20*(MAX(0,MIN($L$20+$M$20,20+1)-MAX($L$20,20))+MAX(0,MIN($L$20-24+$M$20,20+1)-MAX($L$20-24,20))+MAX(0,MIN($L$20+24+$M$20,20+1)-MAX($L$20+24,20)))</f>
        <v>0</v>
      </c>
      <c r="W44" s="37" t="n">
        <f aca="false">$F$20*(MAX(0,MIN($L$20+$M$20,21+1)-MAX($L$20,21))+MAX(0,MIN($L$20-24+$M$20,21+1)-MAX($L$20-24,21))+MAX(0,MIN($L$20+24+$M$20,21+1)-MAX($L$20+24,21)))</f>
        <v>0</v>
      </c>
      <c r="X44" s="37" t="n">
        <f aca="false">$F$20*(MAX(0,MIN($L$20+$M$20,22+1)-MAX($L$20,22))+MAX(0,MIN($L$20-24+$M$20,22+1)-MAX($L$20-24,22))+MAX(0,MIN($L$20+24+$M$20,22+1)-MAX($L$20+24,22)))</f>
        <v>0</v>
      </c>
      <c r="Y44" s="37" t="n">
        <f aca="false">$F$20*(MAX(0,MIN($L$20+$M$20,23+1)-MAX($L$20,23))+MAX(0,MIN($L$20-24+$M$20,23+1)-MAX($L$20-24,23))+MAX(0,MIN($L$20+24+$M$20,23+1)-MAX($L$20+24,23)))</f>
        <v>0</v>
      </c>
      <c r="Z44" s="37" t="n">
        <f aca="false">SUM(B44:Y44)</f>
        <v>10.5714285714286</v>
      </c>
    </row>
    <row r="45" customFormat="false" ht="15" hidden="false" customHeight="false" outlineLevel="0" collapsed="false">
      <c r="A45" s="7" t="str">
        <f aca="false">B21</f>
        <v>Control panel, PLC, instruments</v>
      </c>
      <c r="B45" s="37" t="n">
        <f aca="false">$F$21*(MAX(0,MIN($L$21+$M$21,0+1)-MAX($L$21,0))+MAX(0,MIN($L$21-24+$M$21,0+1)-MAX($L$21-24,0))+MAX(0,MIN($L$21+24+$M$21,0+1)-MAX($L$21+24,0)))</f>
        <v>0.3</v>
      </c>
      <c r="C45" s="37" t="n">
        <f aca="false">$F$21*(MAX(0,MIN($L$21+$M$21,1+1)-MAX($L$21,1))+MAX(0,MIN($L$21-24+$M$21,1+1)-MAX($L$21-24,1))+MAX(0,MIN($L$21+24+$M$21,1+1)-MAX($L$21+24,1)))</f>
        <v>0.3</v>
      </c>
      <c r="D45" s="37" t="n">
        <f aca="false">$F$21*(MAX(0,MIN($L$21+$M$21,2+1)-MAX($L$21,2))+MAX(0,MIN($L$21-24+$M$21,2+1)-MAX($L$21-24,2))+MAX(0,MIN($L$21+24+$M$21,2+1)-MAX($L$21+24,2)))</f>
        <v>0.3</v>
      </c>
      <c r="E45" s="37" t="n">
        <f aca="false">$F$21*(MAX(0,MIN($L$21+$M$21,3+1)-MAX($L$21,3))+MAX(0,MIN($L$21-24+$M$21,3+1)-MAX($L$21-24,3))+MAX(0,MIN($L$21+24+$M$21,3+1)-MAX($L$21+24,3)))</f>
        <v>0.3</v>
      </c>
      <c r="F45" s="37" t="n">
        <f aca="false">$F$21*(MAX(0,MIN($L$21+$M$21,4+1)-MAX($L$21,4))+MAX(0,MIN($L$21-24+$M$21,4+1)-MAX($L$21-24,4))+MAX(0,MIN($L$21+24+$M$21,4+1)-MAX($L$21+24,4)))</f>
        <v>0.3</v>
      </c>
      <c r="G45" s="37" t="n">
        <f aca="false">$F$21*(MAX(0,MIN($L$21+$M$21,5+1)-MAX($L$21,5))+MAX(0,MIN($L$21-24+$M$21,5+1)-MAX($L$21-24,5))+MAX(0,MIN($L$21+24+$M$21,5+1)-MAX($L$21+24,5)))</f>
        <v>0.3</v>
      </c>
      <c r="H45" s="37" t="n">
        <f aca="false">$F$21*(MAX(0,MIN($L$21+$M$21,6+1)-MAX($L$21,6))+MAX(0,MIN($L$21-24+$M$21,6+1)-MAX($L$21-24,6))+MAX(0,MIN($L$21+24+$M$21,6+1)-MAX($L$21+24,6)))</f>
        <v>0.3</v>
      </c>
      <c r="I45" s="37" t="n">
        <f aca="false">$F$21*(MAX(0,MIN($L$21+$M$21,7+1)-MAX($L$21,7))+MAX(0,MIN($L$21-24+$M$21,7+1)-MAX($L$21-24,7))+MAX(0,MIN($L$21+24+$M$21,7+1)-MAX($L$21+24,7)))</f>
        <v>0.3</v>
      </c>
      <c r="J45" s="37" t="n">
        <f aca="false">$F$21*(MAX(0,MIN($L$21+$M$21,8+1)-MAX($L$21,8))+MAX(0,MIN($L$21-24+$M$21,8+1)-MAX($L$21-24,8))+MAX(0,MIN($L$21+24+$M$21,8+1)-MAX($L$21+24,8)))</f>
        <v>0.3</v>
      </c>
      <c r="K45" s="37" t="n">
        <f aca="false">$F$21*(MAX(0,MIN($L$21+$M$21,9+1)-MAX($L$21,9))+MAX(0,MIN($L$21-24+$M$21,9+1)-MAX($L$21-24,9))+MAX(0,MIN($L$21+24+$M$21,9+1)-MAX($L$21+24,9)))</f>
        <v>0.3</v>
      </c>
      <c r="L45" s="37" t="n">
        <f aca="false">$F$21*(MAX(0,MIN($L$21+$M$21,10+1)-MAX($L$21,10))+MAX(0,MIN($L$21-24+$M$21,10+1)-MAX($L$21-24,10))+MAX(0,MIN($L$21+24+$M$21,10+1)-MAX($L$21+24,10)))</f>
        <v>0.3</v>
      </c>
      <c r="M45" s="37" t="n">
        <f aca="false">$F$21*(MAX(0,MIN($L$21+$M$21,11+1)-MAX($L$21,11))+MAX(0,MIN($L$21-24+$M$21,11+1)-MAX($L$21-24,11))+MAX(0,MIN($L$21+24+$M$21,11+1)-MAX($L$21+24,11)))</f>
        <v>0.3</v>
      </c>
      <c r="N45" s="37" t="n">
        <f aca="false">$F$21*(MAX(0,MIN($L$21+$M$21,12+1)-MAX($L$21,12))+MAX(0,MIN($L$21-24+$M$21,12+1)-MAX($L$21-24,12))+MAX(0,MIN($L$21+24+$M$21,12+1)-MAX($L$21+24,12)))</f>
        <v>0.3</v>
      </c>
      <c r="O45" s="37" t="n">
        <f aca="false">$F$21*(MAX(0,MIN($L$21+$M$21,13+1)-MAX($L$21,13))+MAX(0,MIN($L$21-24+$M$21,13+1)-MAX($L$21-24,13))+MAX(0,MIN($L$21+24+$M$21,13+1)-MAX($L$21+24,13)))</f>
        <v>0.3</v>
      </c>
      <c r="P45" s="37" t="n">
        <f aca="false">$F$21*(MAX(0,MIN($L$21+$M$21,14+1)-MAX($L$21,14))+MAX(0,MIN($L$21-24+$M$21,14+1)-MAX($L$21-24,14))+MAX(0,MIN($L$21+24+$M$21,14+1)-MAX($L$21+24,14)))</f>
        <v>0.3</v>
      </c>
      <c r="Q45" s="37" t="n">
        <f aca="false">$F$21*(MAX(0,MIN($L$21+$M$21,15+1)-MAX($L$21,15))+MAX(0,MIN($L$21-24+$M$21,15+1)-MAX($L$21-24,15))+MAX(0,MIN($L$21+24+$M$21,15+1)-MAX($L$21+24,15)))</f>
        <v>0.3</v>
      </c>
      <c r="R45" s="37" t="n">
        <f aca="false">$F$21*(MAX(0,MIN($L$21+$M$21,16+1)-MAX($L$21,16))+MAX(0,MIN($L$21-24+$M$21,16+1)-MAX($L$21-24,16))+MAX(0,MIN($L$21+24+$M$21,16+1)-MAX($L$21+24,16)))</f>
        <v>0.3</v>
      </c>
      <c r="S45" s="37" t="n">
        <f aca="false">$F$21*(MAX(0,MIN($L$21+$M$21,17+1)-MAX($L$21,17))+MAX(0,MIN($L$21-24+$M$21,17+1)-MAX($L$21-24,17))+MAX(0,MIN($L$21+24+$M$21,17+1)-MAX($L$21+24,17)))</f>
        <v>0.3</v>
      </c>
      <c r="T45" s="37" t="n">
        <f aca="false">$F$21*(MAX(0,MIN($L$21+$M$21,18+1)-MAX($L$21,18))+MAX(0,MIN($L$21-24+$M$21,18+1)-MAX($L$21-24,18))+MAX(0,MIN($L$21+24+$M$21,18+1)-MAX($L$21+24,18)))</f>
        <v>0.3</v>
      </c>
      <c r="U45" s="37" t="n">
        <f aca="false">$F$21*(MAX(0,MIN($L$21+$M$21,19+1)-MAX($L$21,19))+MAX(0,MIN($L$21-24+$M$21,19+1)-MAX($L$21-24,19))+MAX(0,MIN($L$21+24+$M$21,19+1)-MAX($L$21+24,19)))</f>
        <v>0.3</v>
      </c>
      <c r="V45" s="37" t="n">
        <f aca="false">$F$21*(MAX(0,MIN($L$21+$M$21,20+1)-MAX($L$21,20))+MAX(0,MIN($L$21-24+$M$21,20+1)-MAX($L$21-24,20))+MAX(0,MIN($L$21+24+$M$21,20+1)-MAX($L$21+24,20)))</f>
        <v>0.3</v>
      </c>
      <c r="W45" s="37" t="n">
        <f aca="false">$F$21*(MAX(0,MIN($L$21+$M$21,21+1)-MAX($L$21,21))+MAX(0,MIN($L$21-24+$M$21,21+1)-MAX($L$21-24,21))+MAX(0,MIN($L$21+24+$M$21,21+1)-MAX($L$21+24,21)))</f>
        <v>0.3</v>
      </c>
      <c r="X45" s="37" t="n">
        <f aca="false">$F$21*(MAX(0,MIN($L$21+$M$21,22+1)-MAX($L$21,22))+MAX(0,MIN($L$21-24+$M$21,22+1)-MAX($L$21-24,22))+MAX(0,MIN($L$21+24+$M$21,22+1)-MAX($L$21+24,22)))</f>
        <v>0.3</v>
      </c>
      <c r="Y45" s="37" t="n">
        <f aca="false">$F$21*(MAX(0,MIN($L$21+$M$21,23+1)-MAX($L$21,23))+MAX(0,MIN($L$21-24+$M$21,23+1)-MAX($L$21-24,23))+MAX(0,MIN($L$21+24+$M$21,23+1)-MAX($L$21+24,23)))</f>
        <v>0.3</v>
      </c>
      <c r="Z45" s="37" t="n">
        <f aca="false">SUM(B45:Y45)</f>
        <v>7.2</v>
      </c>
    </row>
    <row r="46" customFormat="false" ht="15" hidden="false" customHeight="false" outlineLevel="0" collapsed="false">
      <c r="A46" s="18" t="s">
        <v>520</v>
      </c>
      <c r="B46" s="47" t="n">
        <f aca="false">SUM(B38:B45)</f>
        <v>1.5</v>
      </c>
      <c r="C46" s="47" t="n">
        <f aca="false">SUM(C38:C45)</f>
        <v>1.5</v>
      </c>
      <c r="D46" s="47" t="n">
        <f aca="false">SUM(D38:D45)</f>
        <v>1.5</v>
      </c>
      <c r="E46" s="47" t="n">
        <f aca="false">SUM(E38:E45)</f>
        <v>1.5</v>
      </c>
      <c r="F46" s="47" t="n">
        <f aca="false">SUM(F38:F45)</f>
        <v>1.5</v>
      </c>
      <c r="G46" s="47" t="n">
        <f aca="false">SUM(G38:G45)</f>
        <v>1.5</v>
      </c>
      <c r="H46" s="47" t="n">
        <f aca="false">SUM(H38:H45)</f>
        <v>0.3</v>
      </c>
      <c r="I46" s="47" t="n">
        <f aca="false">SUM(I38:I45)</f>
        <v>1.62142857142857</v>
      </c>
      <c r="J46" s="47" t="n">
        <f aca="false">SUM(J38:J45)</f>
        <v>5.12366477752433</v>
      </c>
      <c r="K46" s="47" t="n">
        <f aca="false">SUM(K38:K45)</f>
        <v>5.12366477752433</v>
      </c>
      <c r="L46" s="47" t="n">
        <f aca="false">SUM(L38:L45)</f>
        <v>5.12366477752433</v>
      </c>
      <c r="M46" s="47" t="n">
        <f aca="false">SUM(M38:M45)</f>
        <v>5.12366477752433</v>
      </c>
      <c r="N46" s="47" t="n">
        <f aca="false">SUM(N38:N45)</f>
        <v>4.52366477752433</v>
      </c>
      <c r="O46" s="47" t="n">
        <f aca="false">SUM(O38:O45)</f>
        <v>4.52366477752433</v>
      </c>
      <c r="P46" s="47" t="n">
        <f aca="false">SUM(P38:P45)</f>
        <v>1.93163057959796</v>
      </c>
      <c r="Q46" s="47" t="n">
        <f aca="false">SUM(Q38:Q45)</f>
        <v>0.3</v>
      </c>
      <c r="R46" s="47" t="n">
        <f aca="false">SUM(R38:R45)</f>
        <v>0.3</v>
      </c>
      <c r="S46" s="47" t="n">
        <f aca="false">SUM(S38:S45)</f>
        <v>0.3</v>
      </c>
      <c r="T46" s="47" t="n">
        <f aca="false">SUM(T38:T45)</f>
        <v>1.5</v>
      </c>
      <c r="U46" s="47" t="n">
        <f aca="false">SUM(U38:U45)</f>
        <v>1.5</v>
      </c>
      <c r="V46" s="47" t="n">
        <f aca="false">SUM(V38:V45)</f>
        <v>1.5</v>
      </c>
      <c r="W46" s="47" t="n">
        <f aca="false">SUM(W38:W45)</f>
        <v>1.5</v>
      </c>
      <c r="X46" s="47" t="n">
        <f aca="false">SUM(X38:X45)</f>
        <v>1.5</v>
      </c>
      <c r="Y46" s="47" t="n">
        <f aca="false">SUM(Y38:Y45)</f>
        <v>1.5</v>
      </c>
      <c r="Z46" s="47" t="n">
        <f aca="false">SUM(B46:Y46)</f>
        <v>52.2950478161725</v>
      </c>
    </row>
    <row r="47" customFormat="false" ht="23.85" hidden="false" customHeight="false" outlineLevel="0" collapsed="false">
      <c r="A47" s="39" t="s">
        <v>521</v>
      </c>
      <c r="B47" s="14" t="str">
        <f aca="false">IF(ABS(Z46-H22)&lt;0.01,"OK","MISMATCH")</f>
        <v>OK</v>
      </c>
    </row>
    <row r="69" customFormat="false" ht="15" hidden="false" customHeight="true" outlineLevel="0" collapsed="false">
      <c r="A69" s="43" t="s">
        <v>118</v>
      </c>
      <c r="B69" s="43"/>
      <c r="C69" s="43"/>
      <c r="D69" s="43"/>
      <c r="E69" s="43"/>
      <c r="F69" s="43"/>
      <c r="G69" s="43"/>
      <c r="H69" s="43"/>
      <c r="I69" s="43"/>
      <c r="J69" s="43"/>
      <c r="K69" s="43"/>
      <c r="L69" s="43"/>
      <c r="M69" s="43"/>
      <c r="N69" s="43"/>
    </row>
    <row r="70" customFormat="false" ht="27.75" hidden="false" customHeight="true" outlineLevel="0" collapsed="false">
      <c r="A70" s="44" t="s">
        <v>522</v>
      </c>
      <c r="B70" s="44"/>
      <c r="C70" s="44"/>
      <c r="D70" s="44"/>
      <c r="E70" s="44"/>
      <c r="F70" s="44"/>
      <c r="G70" s="44"/>
      <c r="H70" s="44"/>
      <c r="I70" s="44"/>
      <c r="J70" s="44"/>
      <c r="K70" s="44"/>
      <c r="L70" s="44"/>
      <c r="M70" s="44"/>
      <c r="N70" s="44"/>
    </row>
    <row r="71" customFormat="false" ht="27.75" hidden="false" customHeight="true" outlineLevel="0" collapsed="false">
      <c r="A71" s="44" t="s">
        <v>523</v>
      </c>
      <c r="B71" s="44"/>
      <c r="C71" s="44"/>
      <c r="D71" s="44"/>
      <c r="E71" s="44"/>
      <c r="F71" s="44"/>
      <c r="G71" s="44"/>
      <c r="H71" s="44"/>
      <c r="I71" s="44"/>
      <c r="J71" s="44"/>
      <c r="K71" s="44"/>
      <c r="L71" s="44"/>
      <c r="M71" s="44"/>
      <c r="N71" s="44"/>
    </row>
    <row r="72" customFormat="false" ht="27.75" hidden="false" customHeight="true" outlineLevel="0" collapsed="false">
      <c r="A72" s="44" t="s">
        <v>524</v>
      </c>
      <c r="B72" s="44"/>
      <c r="C72" s="44"/>
      <c r="D72" s="44"/>
      <c r="E72" s="44"/>
      <c r="F72" s="44"/>
      <c r="G72" s="44"/>
      <c r="H72" s="44"/>
      <c r="I72" s="44"/>
      <c r="J72" s="44"/>
      <c r="K72" s="44"/>
      <c r="L72" s="44"/>
      <c r="M72" s="44"/>
      <c r="N72" s="44"/>
    </row>
    <row r="73" customFormat="false" ht="27.75" hidden="false" customHeight="true" outlineLevel="0" collapsed="false">
      <c r="A73" s="44" t="s">
        <v>525</v>
      </c>
      <c r="B73" s="44"/>
      <c r="C73" s="44"/>
      <c r="D73" s="44"/>
      <c r="E73" s="44"/>
      <c r="F73" s="44"/>
      <c r="G73" s="44"/>
      <c r="H73" s="44"/>
      <c r="I73" s="44"/>
      <c r="J73" s="44"/>
      <c r="K73" s="44"/>
      <c r="L73" s="44"/>
      <c r="M73" s="44"/>
      <c r="N73" s="44"/>
    </row>
    <row r="74" customFormat="false" ht="27.75" hidden="false" customHeight="true" outlineLevel="0" collapsed="false">
      <c r="A74" s="44" t="s">
        <v>526</v>
      </c>
      <c r="B74" s="44"/>
      <c r="C74" s="44"/>
      <c r="D74" s="44"/>
      <c r="E74" s="44"/>
      <c r="F74" s="44"/>
      <c r="G74" s="44"/>
      <c r="H74" s="44"/>
      <c r="I74" s="44"/>
      <c r="J74" s="44"/>
      <c r="K74" s="44"/>
      <c r="L74" s="44"/>
      <c r="M74" s="44"/>
      <c r="N74" s="44"/>
    </row>
  </sheetData>
  <mergeCells count="22">
    <mergeCell ref="E5:N5"/>
    <mergeCell ref="E6:N6"/>
    <mergeCell ref="E7:N7"/>
    <mergeCell ref="E8:N8"/>
    <mergeCell ref="E9:N9"/>
    <mergeCell ref="E10:N10"/>
    <mergeCell ref="D25:N25"/>
    <mergeCell ref="D26:N26"/>
    <mergeCell ref="D27:N27"/>
    <mergeCell ref="D28:N28"/>
    <mergeCell ref="D29:N29"/>
    <mergeCell ref="D30:N30"/>
    <mergeCell ref="D31:N31"/>
    <mergeCell ref="D32:N32"/>
    <mergeCell ref="D33:N33"/>
    <mergeCell ref="D34:N34"/>
    <mergeCell ref="A69:N69"/>
    <mergeCell ref="A70:N70"/>
    <mergeCell ref="A71:N71"/>
    <mergeCell ref="A72:N72"/>
    <mergeCell ref="A73:N73"/>
    <mergeCell ref="A74:N7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4"/>
    <col collapsed="false" customWidth="true" hidden="false" outlineLevel="0" max="3" min="3" style="1" width="10"/>
    <col collapsed="false" customWidth="true" hidden="false" outlineLevel="0" max="4" min="4" style="1" width="70"/>
  </cols>
  <sheetData>
    <row r="1" customFormat="false" ht="17.25" hidden="false" customHeight="true" outlineLevel="0" collapsed="false">
      <c r="A1" s="2" t="s">
        <v>527</v>
      </c>
    </row>
    <row r="2" customFormat="false" ht="15" hidden="false" customHeight="true" outlineLevel="0" collapsed="false">
      <c r="A2" s="3" t="s">
        <v>528</v>
      </c>
    </row>
    <row r="4" customFormat="false" ht="42" hidden="false" customHeight="true" outlineLevel="0" collapsed="false">
      <c r="A4" s="4" t="s">
        <v>2</v>
      </c>
      <c r="B4" s="4" t="s">
        <v>3</v>
      </c>
      <c r="C4" s="4" t="s">
        <v>4</v>
      </c>
      <c r="D4" s="4" t="s">
        <v>529</v>
      </c>
    </row>
    <row r="5" customFormat="false" ht="15" hidden="false" customHeight="true" outlineLevel="0" collapsed="false">
      <c r="A5" s="5" t="s">
        <v>530</v>
      </c>
      <c r="B5" s="6"/>
      <c r="C5" s="6"/>
      <c r="D5" s="6"/>
    </row>
    <row r="6" customFormat="false" ht="15" hidden="false" customHeight="true" outlineLevel="0" collapsed="false">
      <c r="A6" s="7" t="s">
        <v>531</v>
      </c>
      <c r="B6" s="56" t="n">
        <f aca="false">'Load Schedule'!G16</f>
        <v>33.96</v>
      </c>
      <c r="C6" s="7" t="s">
        <v>8</v>
      </c>
      <c r="D6" s="7" t="s">
        <v>532</v>
      </c>
    </row>
    <row r="7" customFormat="false" ht="23.25" hidden="false" customHeight="true" outlineLevel="0" collapsed="false">
      <c r="A7" s="7" t="s">
        <v>533</v>
      </c>
      <c r="B7" s="56" t="n">
        <f aca="false">'Load Schedule'!M16</f>
        <v>23.9026785714286</v>
      </c>
      <c r="C7" s="7" t="s">
        <v>8</v>
      </c>
      <c r="D7" s="7" t="s">
        <v>534</v>
      </c>
    </row>
    <row r="8" customFormat="false" ht="15" hidden="false" customHeight="true" outlineLevel="0" collapsed="false">
      <c r="A8" s="7" t="s">
        <v>535</v>
      </c>
      <c r="B8" s="56" t="n">
        <f aca="false">'Load Schedule'!N16</f>
        <v>27.9051120448179</v>
      </c>
      <c r="C8" s="7" t="s">
        <v>29</v>
      </c>
      <c r="D8" s="7" t="s">
        <v>536</v>
      </c>
    </row>
    <row r="9" customFormat="false" ht="15" hidden="false" customHeight="true" outlineLevel="0" collapsed="false">
      <c r="A9" s="7" t="s">
        <v>537</v>
      </c>
      <c r="B9" s="12" t="n">
        <f aca="false">IFERROR(B7/B8,0)</f>
        <v>0.856569883433504</v>
      </c>
      <c r="C9" s="7" t="s">
        <v>45</v>
      </c>
      <c r="D9" s="7" t="s">
        <v>538</v>
      </c>
    </row>
    <row r="10" customFormat="false" ht="15" hidden="false" customHeight="true" outlineLevel="0" collapsed="false">
      <c r="A10" s="7" t="s">
        <v>31</v>
      </c>
      <c r="B10" s="56" t="n">
        <f aca="false">B8*1000/(SQRT(3)*Inputs!$B$6)</f>
        <v>38.821744459861</v>
      </c>
      <c r="C10" s="7" t="s">
        <v>20</v>
      </c>
      <c r="D10" s="7" t="s">
        <v>539</v>
      </c>
    </row>
    <row r="11" customFormat="false" ht="15" hidden="false" customHeight="true" outlineLevel="0" collapsed="false">
      <c r="A11" s="5" t="s">
        <v>540</v>
      </c>
      <c r="B11" s="6"/>
      <c r="C11" s="6"/>
      <c r="D11" s="6"/>
    </row>
    <row r="12" customFormat="false" ht="15" hidden="false" customHeight="true" outlineLevel="0" collapsed="false">
      <c r="A12" s="7" t="s">
        <v>541</v>
      </c>
      <c r="B12" s="55" t="n">
        <f aca="false">Inputs!$B$23</f>
        <v>0.25</v>
      </c>
      <c r="C12" s="7" t="s">
        <v>45</v>
      </c>
      <c r="D12" s="7" t="s">
        <v>281</v>
      </c>
    </row>
    <row r="13" customFormat="false" ht="15" hidden="false" customHeight="true" outlineLevel="0" collapsed="false">
      <c r="A13" s="7" t="s">
        <v>542</v>
      </c>
      <c r="B13" s="56" t="n">
        <f aca="false">B10*(1+B12)</f>
        <v>48.5271805748262</v>
      </c>
      <c r="C13" s="7" t="s">
        <v>20</v>
      </c>
      <c r="D13" s="7" t="s">
        <v>543</v>
      </c>
    </row>
    <row r="14" customFormat="false" ht="15" hidden="false" customHeight="true" outlineLevel="0" collapsed="false">
      <c r="A14" s="7" t="s">
        <v>544</v>
      </c>
      <c r="B14" s="56" t="n">
        <f aca="false">MAX('Load Schedule'!J5:J9)</f>
        <v>10.0467831848706</v>
      </c>
      <c r="C14" s="7" t="s">
        <v>20</v>
      </c>
      <c r="D14" s="7" t="s">
        <v>545</v>
      </c>
    </row>
    <row r="15" customFormat="false" ht="15" hidden="false" customHeight="true" outlineLevel="0" collapsed="false">
      <c r="A15" s="7" t="s">
        <v>546</v>
      </c>
      <c r="B15" s="56" t="n">
        <f aca="false">B14*Inputs!$B$25</f>
        <v>20.0935663697412</v>
      </c>
      <c r="C15" s="7" t="s">
        <v>20</v>
      </c>
      <c r="D15" s="7" t="s">
        <v>547</v>
      </c>
    </row>
    <row r="16" customFormat="false" ht="23.25" hidden="false" customHeight="true" outlineLevel="0" collapsed="false">
      <c r="A16" s="7" t="s">
        <v>548</v>
      </c>
      <c r="B16" s="56" t="n">
        <f aca="false">B10-B14+B15</f>
        <v>48.8685276447316</v>
      </c>
      <c r="C16" s="7" t="s">
        <v>20</v>
      </c>
      <c r="D16" s="7" t="s">
        <v>549</v>
      </c>
    </row>
    <row r="17" customFormat="false" ht="15" hidden="false" customHeight="true" outlineLevel="0" collapsed="false">
      <c r="A17" s="5" t="s">
        <v>550</v>
      </c>
      <c r="B17" s="6"/>
      <c r="C17" s="6"/>
      <c r="D17" s="6"/>
    </row>
    <row r="18" customFormat="false" ht="15" hidden="false" customHeight="true" outlineLevel="0" collapsed="false">
      <c r="A18" s="7" t="s">
        <v>551</v>
      </c>
      <c r="B18" s="56" t="n">
        <f aca="false">INDEX(Inputs!$H$5:$H$22,COUNTIF(Inputs!$H$5:$H$22,"&lt;"&amp;B13)+1)</f>
        <v>50</v>
      </c>
      <c r="C18" s="7" t="s">
        <v>20</v>
      </c>
      <c r="D18" s="7" t="s">
        <v>552</v>
      </c>
    </row>
    <row r="19" customFormat="false" ht="15" hidden="false" customHeight="true" outlineLevel="0" collapsed="false">
      <c r="A19" s="7" t="s">
        <v>553</v>
      </c>
      <c r="B19" s="57" t="n">
        <v>225</v>
      </c>
      <c r="C19" s="7" t="s">
        <v>20</v>
      </c>
      <c r="D19" s="7" t="s">
        <v>554</v>
      </c>
    </row>
    <row r="20" customFormat="false" ht="15" hidden="false" customHeight="true" outlineLevel="0" collapsed="false">
      <c r="A20" s="7" t="s">
        <v>555</v>
      </c>
      <c r="B20" s="42" t="n">
        <f aca="false">B10/B19</f>
        <v>0.172541086488271</v>
      </c>
      <c r="C20" s="7" t="s">
        <v>165</v>
      </c>
      <c r="D20" s="7" t="s">
        <v>556</v>
      </c>
    </row>
    <row r="21" customFormat="false" ht="23.25" hidden="false" customHeight="true" outlineLevel="0" collapsed="false">
      <c r="A21" s="7" t="s">
        <v>33</v>
      </c>
      <c r="B21" s="56" t="n">
        <f aca="false">MAX(B18,63)</f>
        <v>63</v>
      </c>
      <c r="C21" s="7" t="s">
        <v>20</v>
      </c>
      <c r="D21" s="7" t="s">
        <v>557</v>
      </c>
    </row>
    <row r="22" customFormat="false" ht="124.5" hidden="false" customHeight="true" outlineLevel="0" collapsed="false">
      <c r="A22" s="7" t="s">
        <v>558</v>
      </c>
      <c r="B22" s="12" t="str">
        <f aca="false">IF(B19&gt;=B18,"Adequate - oversized by "&amp;TEXT(B19/B18,"0.0")&amp;"x; acceptable if TNB connected load and metering CT are matched, otherwise reduce to recommended rating","UNDERSIZED - increase")</f>
        <v>Adequate - oversized by 4.5x; acceptable if TNB connected load and metering CT are matched, otherwise reduce to recommended rating</v>
      </c>
      <c r="C22" s="7" t="s">
        <v>45</v>
      </c>
      <c r="D22" s="7" t="s">
        <v>559</v>
      </c>
    </row>
    <row r="23" customFormat="false" ht="15" hidden="false" customHeight="true" outlineLevel="0" collapsed="false">
      <c r="A23" s="5" t="s">
        <v>560</v>
      </c>
      <c r="B23" s="6"/>
      <c r="C23" s="6"/>
      <c r="D23" s="6"/>
    </row>
    <row r="24" customFormat="false" ht="15" hidden="false" customHeight="true" outlineLevel="0" collapsed="false">
      <c r="A24" s="7" t="s">
        <v>561</v>
      </c>
      <c r="B24" s="17" t="n">
        <v>25</v>
      </c>
      <c r="C24" s="7" t="s">
        <v>205</v>
      </c>
      <c r="D24" s="7" t="s">
        <v>562</v>
      </c>
    </row>
    <row r="25" customFormat="false" ht="15" hidden="false" customHeight="true" outlineLevel="0" collapsed="false">
      <c r="A25" s="7" t="s">
        <v>563</v>
      </c>
      <c r="B25" s="56" t="n">
        <f aca="false">B21/Inputs!$B$19</f>
        <v>72.4137931034483</v>
      </c>
      <c r="C25" s="7" t="s">
        <v>20</v>
      </c>
      <c r="D25" s="7" t="s">
        <v>564</v>
      </c>
    </row>
    <row r="26" customFormat="false" ht="15" hidden="false" customHeight="true" outlineLevel="0" collapsed="false">
      <c r="A26" s="7" t="s">
        <v>565</v>
      </c>
      <c r="B26" s="56" t="n">
        <f aca="false">INDEX(Inputs!$J$5:$J$19,COUNTIF(Inputs!$K$5:$K$19,"&lt;"&amp;B25)+1)</f>
        <v>16</v>
      </c>
      <c r="C26" s="7" t="s">
        <v>24</v>
      </c>
      <c r="D26" s="7" t="s">
        <v>566</v>
      </c>
    </row>
    <row r="27" customFormat="false" ht="15" hidden="false" customHeight="true" outlineLevel="0" collapsed="false">
      <c r="A27" s="7" t="s">
        <v>567</v>
      </c>
      <c r="B27" s="56" t="n">
        <f aca="false">INDEX(Inputs!$K$5:$K$19,COUNTIF(Inputs!$K$5:$K$19,"&lt;"&amp;B25)+1)</f>
        <v>94</v>
      </c>
      <c r="C27" s="7" t="s">
        <v>20</v>
      </c>
      <c r="D27" s="7"/>
    </row>
    <row r="28" customFormat="false" ht="15" hidden="false" customHeight="true" outlineLevel="0" collapsed="false">
      <c r="A28" s="7" t="s">
        <v>568</v>
      </c>
      <c r="B28" s="56" t="n">
        <f aca="false">INDEX(Inputs!$L$5:$L$19,COUNTIF(Inputs!$K$5:$K$19,"&lt;"&amp;B25)+1)*B13*B24/1000</f>
        <v>3.39690264023783</v>
      </c>
      <c r="C28" s="7" t="s">
        <v>135</v>
      </c>
      <c r="D28" s="7" t="s">
        <v>569</v>
      </c>
    </row>
    <row r="29" customFormat="false" ht="23.25" hidden="false" customHeight="true" outlineLevel="0" collapsed="false">
      <c r="A29" s="7" t="s">
        <v>570</v>
      </c>
      <c r="B29" s="42" t="n">
        <f aca="false">B28/Inputs!$B$6</f>
        <v>0.00818530756683815</v>
      </c>
      <c r="C29" s="7" t="s">
        <v>165</v>
      </c>
      <c r="D29" s="7" t="s">
        <v>571</v>
      </c>
    </row>
    <row r="30" customFormat="false" ht="15" hidden="false" customHeight="true" outlineLevel="0" collapsed="false">
      <c r="A30" s="7" t="s">
        <v>572</v>
      </c>
      <c r="B30" s="12" t="str">
        <f aca="false">IF(B29&lt;=Inputs!$B$20,"OK","EXCEEDS - upsize cable")</f>
        <v>OK</v>
      </c>
      <c r="C30" s="7" t="s">
        <v>45</v>
      </c>
      <c r="D30" s="7"/>
    </row>
    <row r="31" customFormat="false" ht="15" hidden="false" customHeight="true" outlineLevel="0" collapsed="false">
      <c r="A31" s="5" t="s">
        <v>573</v>
      </c>
      <c r="B31" s="6"/>
      <c r="C31" s="6"/>
      <c r="D31" s="6"/>
    </row>
    <row r="32" customFormat="false" ht="34.5" hidden="false" customHeight="true" outlineLevel="0" collapsed="false">
      <c r="A32" s="7" t="s">
        <v>574</v>
      </c>
      <c r="B32" s="45" t="s">
        <v>575</v>
      </c>
      <c r="C32" s="7" t="s">
        <v>45</v>
      </c>
      <c r="D32" s="7" t="s">
        <v>139</v>
      </c>
    </row>
    <row r="33" customFormat="false" ht="15" hidden="false" customHeight="true" outlineLevel="0" collapsed="false">
      <c r="A33" s="7" t="s">
        <v>576</v>
      </c>
      <c r="B33" s="56" t="n">
        <f aca="false">ROUNDUP(B8*(1+B12),0)</f>
        <v>35</v>
      </c>
      <c r="C33" s="7" t="s">
        <v>29</v>
      </c>
      <c r="D33" s="7" t="s">
        <v>577</v>
      </c>
    </row>
    <row r="34" customFormat="false" ht="15" hidden="false" customHeight="true" outlineLevel="0" collapsed="false">
      <c r="A34" s="7" t="s">
        <v>578</v>
      </c>
      <c r="B34" s="56" t="n">
        <f aca="false">ROUNDUP(B6,0)</f>
        <v>34</v>
      </c>
      <c r="C34" s="7" t="s">
        <v>8</v>
      </c>
      <c r="D34" s="7"/>
    </row>
    <row r="35" customFormat="false" ht="34.5" hidden="false" customHeight="true" outlineLevel="0" collapsed="false">
      <c r="A35" s="7" t="s">
        <v>579</v>
      </c>
      <c r="B35" s="12" t="str">
        <f aca="false">IF(B33&lt;=100,"LV Commercial / Industrial (below 100 kVA class)","LV supply above 100 kVA - TNB may require CT metering")</f>
        <v>LV Commercial / Industrial (below 100 kVA class)</v>
      </c>
      <c r="C35" s="7" t="s">
        <v>45</v>
      </c>
      <c r="D35" s="7" t="s">
        <v>580</v>
      </c>
    </row>
    <row r="36" customFormat="false" ht="23.25" hidden="false" customHeight="true" outlineLevel="0" collapsed="false">
      <c r="A36" s="7" t="s">
        <v>581</v>
      </c>
      <c r="B36" s="56" t="n">
        <f aca="false">B7*Inputs!$B$29*Inputs!$B$30</f>
        <v>4302.48214285714</v>
      </c>
      <c r="C36" s="7" t="s">
        <v>41</v>
      </c>
      <c r="D36" s="7" t="s">
        <v>582</v>
      </c>
    </row>
    <row r="37" customFormat="false" ht="15" hidden="false" customHeight="true" outlineLevel="0" collapsed="false">
      <c r="A37" s="7" t="s">
        <v>583</v>
      </c>
      <c r="B37" s="56" t="n">
        <f aca="false">B36*Inputs!$B$31</f>
        <v>2189.96341071429</v>
      </c>
      <c r="C37" s="7" t="s">
        <v>60</v>
      </c>
      <c r="D37" s="7" t="s">
        <v>584</v>
      </c>
    </row>
    <row r="38" customFormat="false" ht="15" hidden="false" customHeight="true" outlineLevel="0" collapsed="false">
      <c r="A38" s="5" t="s">
        <v>585</v>
      </c>
      <c r="B38" s="6"/>
      <c r="C38" s="6"/>
      <c r="D38" s="6"/>
    </row>
    <row r="39" customFormat="false" ht="15" hidden="false" customHeight="true" outlineLevel="0" collapsed="false">
      <c r="A39" s="7" t="s">
        <v>586</v>
      </c>
      <c r="B39" s="56" t="n">
        <f aca="false">B8</f>
        <v>27.9051120448179</v>
      </c>
      <c r="C39" s="7" t="s">
        <v>29</v>
      </c>
      <c r="D39" s="7" t="s">
        <v>587</v>
      </c>
    </row>
    <row r="40" customFormat="false" ht="15" hidden="false" customHeight="true" outlineLevel="0" collapsed="false">
      <c r="A40" s="7" t="s">
        <v>588</v>
      </c>
      <c r="B40" s="56" t="n">
        <f aca="false">SQRT(3)*Inputs!$B$6*B15/1000</f>
        <v>14.4432773109244</v>
      </c>
      <c r="C40" s="7" t="s">
        <v>29</v>
      </c>
      <c r="D40" s="7" t="s">
        <v>589</v>
      </c>
    </row>
    <row r="41" customFormat="false" ht="23.25" hidden="false" customHeight="true" outlineLevel="0" collapsed="false">
      <c r="A41" s="7" t="s">
        <v>590</v>
      </c>
      <c r="B41" s="56" t="n">
        <f aca="false">B39-SQRT(3)*415*B14/1000+B40</f>
        <v>35.1267507002801</v>
      </c>
      <c r="C41" s="7" t="s">
        <v>29</v>
      </c>
      <c r="D41" s="7" t="s">
        <v>591</v>
      </c>
    </row>
    <row r="42" customFormat="false" ht="15" hidden="false" customHeight="true" outlineLevel="0" collapsed="false">
      <c r="A42" s="7" t="s">
        <v>592</v>
      </c>
      <c r="B42" s="56" t="n">
        <f aca="false">MAX(B39*1.25,B41)</f>
        <v>35.1267507002801</v>
      </c>
      <c r="C42" s="7" t="s">
        <v>29</v>
      </c>
      <c r="D42" s="7" t="s">
        <v>593</v>
      </c>
    </row>
    <row r="43" customFormat="false" ht="15" hidden="false" customHeight="true" outlineLevel="0" collapsed="false">
      <c r="A43" s="7" t="s">
        <v>594</v>
      </c>
      <c r="B43" s="56" t="n">
        <f aca="false">INDEX({10;20;30;40;50;60;80;100;125;150;200},COUNTIF({10;20;30;40;50;60;80;100;125;150;200},"&lt;"&amp;B42)+1)</f>
        <v>40</v>
      </c>
      <c r="C43" s="7" t="s">
        <v>29</v>
      </c>
      <c r="D43" s="7" t="s">
        <v>595</v>
      </c>
    </row>
    <row r="45" customFormat="false" ht="15" hidden="false" customHeight="true" outlineLevel="0" collapsed="false">
      <c r="A45" s="43" t="s">
        <v>118</v>
      </c>
      <c r="B45" s="43"/>
      <c r="C45" s="43"/>
      <c r="D45" s="43"/>
    </row>
    <row r="46" customFormat="false" ht="30" hidden="false" customHeight="true" outlineLevel="0" collapsed="false">
      <c r="A46" s="44" t="s">
        <v>596</v>
      </c>
      <c r="B46" s="44"/>
      <c r="C46" s="44"/>
      <c r="D46" s="44"/>
    </row>
    <row r="47" customFormat="false" ht="30" hidden="false" customHeight="true" outlineLevel="0" collapsed="false">
      <c r="A47" s="44" t="s">
        <v>597</v>
      </c>
      <c r="B47" s="44"/>
      <c r="C47" s="44"/>
      <c r="D47" s="44"/>
    </row>
    <row r="48" customFormat="false" ht="30" hidden="false" customHeight="true" outlineLevel="0" collapsed="false">
      <c r="A48" s="44" t="s">
        <v>598</v>
      </c>
      <c r="B48" s="44"/>
      <c r="C48" s="44"/>
      <c r="D48" s="44"/>
    </row>
    <row r="49" customFormat="false" ht="30" hidden="false" customHeight="true" outlineLevel="0" collapsed="false">
      <c r="A49" s="44" t="s">
        <v>599</v>
      </c>
      <c r="B49" s="44"/>
      <c r="C49" s="44"/>
      <c r="D49" s="44"/>
    </row>
    <row r="50" customFormat="false" ht="30" hidden="false" customHeight="true" outlineLevel="0" collapsed="false">
      <c r="A50" s="44" t="s">
        <v>600</v>
      </c>
      <c r="B50" s="44"/>
      <c r="C50" s="44"/>
      <c r="D50" s="44"/>
    </row>
  </sheetData>
  <mergeCells count="6">
    <mergeCell ref="A45:D45"/>
    <mergeCell ref="A46:D46"/>
    <mergeCell ref="A47:D47"/>
    <mergeCell ref="A48:D48"/>
    <mergeCell ref="A49:D49"/>
    <mergeCell ref="A50:D5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2026-10-14T12:28:59Z</dcterms:created>
  <dc:creator>openpyxl</dc:creator>
  <dc:description/>
  <dc:language>en-US</dc:language>
  <cp:lastModifiedBy/>
  <dcterms:modified xsi:type="dcterms:W3CDTF">2026-10-14T12:56:03Z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