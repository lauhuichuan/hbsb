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der Summary (SOT)" sheetId="1" state="visible" r:id="rId3"/>
    <sheet name="Rates &amp; Inputs" sheetId="2" state="visible" r:id="rId4"/>
    <sheet name="Quantities" sheetId="3" state="visible" r:id="rId5"/>
    <sheet name="Rate Build-up" sheetId="4" state="visible" r:id="rId6"/>
    <sheet name="Item Pric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<sst xmlns="http://schemas.openxmlformats.org/spreadsheetml/2006/main" count="916" uniqueCount="488">
  <si>
    <t xml:space="preserve">HOLY BUILDERS SDN. BHD.</t>
  </si>
  <si>
    <t xml:space="preserve">BDA/CT/52/2026 - THE PROPOSED PROVISION AND LAYING OF WATERPROOFING MEMBRANE TO EXISTING ROOF BALCONIES AND ASSOCIATED WORKS AT WISMA BINTULU BUILDING (REMAINING WORKS)</t>
  </si>
  <si>
    <t xml:space="preserve">SUMMARY OF TENDER - PRICED  |  Tender date: 12 October 2026  |  Validity: 90 days  |  Warranty: 2 years on waterproofing works</t>
  </si>
  <si>
    <t xml:space="preserve">Item</t>
  </si>
  <si>
    <t xml:space="preserve">Description</t>
  </si>
  <si>
    <t xml:space="preserve">Qty</t>
  </si>
  <si>
    <t xml:space="preserve">Unit</t>
  </si>
  <si>
    <t xml:space="preserve">Rate (RM)</t>
  </si>
  <si>
    <t xml:space="preserve">Amount (RM)</t>
  </si>
  <si>
    <t xml:space="preserve">1.0</t>
  </si>
  <si>
    <t xml:space="preserve">Preliminaries and Generally - specifications, conditions of contract, working hours, service elevator restrictions, safety &amp; working at height, site cleanliness</t>
  </si>
  <si>
    <t xml:space="preserve">LUMP SUM</t>
  </si>
  <si>
    <t xml:space="preserve">2.0</t>
  </si>
  <si>
    <t xml:space="preserve">New Rain Water Down Pipe / Floor Trap</t>
  </si>
  <si>
    <t xml:space="preserve">2.1</t>
  </si>
  <si>
    <t xml:space="preserve">Coring work (110 mm dia.) to slab - identifying coring points, tests and PE-endorsed report</t>
  </si>
  <si>
    <t xml:space="preserve">2.2</t>
  </si>
  <si>
    <t xml:space="preserve">Coring 110 mm dia. to floor slab / RC gutter wall for new floor traps / RWDP (1st floor gutter wall, 3rd, 4th, 5th, 6th floor slabs)</t>
  </si>
  <si>
    <t xml:space="preserve">2.3</t>
  </si>
  <si>
    <t xml:space="preserve">Decommissioning of existing RWDP - dewatering, 4" PVC end caps, concrete to existing floor trap openings</t>
  </si>
  <si>
    <t xml:space="preserve">2.4</t>
  </si>
  <si>
    <t xml:space="preserve">Supply and install new 110 mm dia. uPVC (SIRIM) RWDP / floor trap, 3.2 mm thk c/w tees, elbows, connections, clips, access through glazing (outlet to existing RC gutter at Level 1)</t>
  </si>
  <si>
    <t xml:space="preserve">3.0</t>
  </si>
  <si>
    <t xml:space="preserve">Demolition and associated works - removing, carting away debris and making good</t>
  </si>
  <si>
    <t xml:space="preserve">3.1</t>
  </si>
  <si>
    <t xml:space="preserve">Hacking work to existing cement screed and waterproofing (remaining portion)</t>
  </si>
  <si>
    <t xml:space="preserve">4.0</t>
  </si>
  <si>
    <t xml:space="preserve">Screeding &amp; Waterproofing System</t>
  </si>
  <si>
    <t xml:space="preserve">4.1</t>
  </si>
  <si>
    <t xml:space="preserve">Prepare surface, patching / repair of cracks, rectify ponding, thorough cleaning of RC slab</t>
  </si>
  <si>
    <t xml:space="preserve">4.2</t>
  </si>
  <si>
    <t xml:space="preserve">Supply and apply 3 layer coat of SikaTop Seal-107 (MY) on entire RC slab - 3rd, 4th, 5th, 6th floor</t>
  </si>
  <si>
    <t xml:space="preserve">4.3</t>
  </si>
  <si>
    <t xml:space="preserve">Cement and sand screeding to falls incl. forming new scupper drain, steel trowel finish, movement joints, BRC 610 mesh - 3rd, 4th, 5th, 6th floor</t>
  </si>
  <si>
    <t xml:space="preserve">4.4</t>
  </si>
  <si>
    <t xml:space="preserve">Supply and apply 3 layers Sikalastic-632 R on new screed and scupper drain - 3rd, 4th, 5th, 6th floor</t>
  </si>
  <si>
    <t xml:space="preserve">4.5</t>
  </si>
  <si>
    <t xml:space="preserve">Up-turns along wall and glass work along concrete balcony incl. raking columns, fittings &amp; finishes to match existing - 3rd, 4th, 5th, 6th floor</t>
  </si>
  <si>
    <t xml:space="preserve">5.0</t>
  </si>
  <si>
    <t xml:space="preserve">RC Gutter - high-pressure cleaning, removal of unwanted material, repair of cracks / honeycomb, 3 layers Sikalastic-632 R to gutter floor and wall</t>
  </si>
  <si>
    <t xml:space="preserve">6.0</t>
  </si>
  <si>
    <t xml:space="preserve">Silicone seal - make good existing silicone along wall and glass at all balconies</t>
  </si>
  <si>
    <t xml:space="preserve">7.0</t>
  </si>
  <si>
    <t xml:space="preserve">Provisional Items</t>
  </si>
  <si>
    <t xml:space="preserve">7.1</t>
  </si>
  <si>
    <t xml:space="preserve">Removal of existing defective ceiling incl. temporary dismantling of light fittings</t>
  </si>
  <si>
    <t xml:space="preserve">M2</t>
  </si>
  <si>
    <t xml:space="preserve">7.2</t>
  </si>
  <si>
    <t xml:space="preserve">New prime flex 3 mm ceiling incl. reinstating light fittings, plastering joints</t>
  </si>
  <si>
    <t xml:space="preserve">7.3</t>
  </si>
  <si>
    <t xml:space="preserve">Repair work to existing ceiling wooden structure</t>
  </si>
  <si>
    <t xml:space="preserve">M3</t>
  </si>
  <si>
    <t xml:space="preserve">7.4</t>
  </si>
  <si>
    <t xml:space="preserve">Painting to repaired internal ceiling - alkali-resisting primer + 2 coats Dulux Pentalite</t>
  </si>
  <si>
    <t xml:space="preserve">7.5</t>
  </si>
  <si>
    <t xml:space="preserve">Replace rusty / broken aluminium flashing with new 1.0 mm aluminium flashing c/w caulking</t>
  </si>
  <si>
    <t xml:space="preserve">7.6</t>
  </si>
  <si>
    <t xml:space="preserve">Grouting to repair cracks on existing slab</t>
  </si>
  <si>
    <t xml:space="preserve">Point</t>
  </si>
  <si>
    <t xml:space="preserve">A</t>
  </si>
  <si>
    <t xml:space="preserve">SUB-TOTAL ITEMS 1.0 - 7.6</t>
  </si>
  <si>
    <t xml:space="preserve">B</t>
  </si>
  <si>
    <t xml:space="preserve">Insurance (CAR, workmen) &amp; performance bond charges (% of A)</t>
  </si>
  <si>
    <t xml:space="preserve">8.</t>
  </si>
  <si>
    <t xml:space="preserve">Provisional Sum for Sales and Service Tax (SST)</t>
  </si>
  <si>
    <t xml:space="preserve">TOTAL TO BE CARRIED TO FORM OF TENDER (RM)</t>
  </si>
  <si>
    <t xml:space="preserve">PRICE ANALYSIS (for internal use - remove before submission)</t>
  </si>
  <si>
    <t xml:space="preserve">Net cost of works (materials + labour + plant), items 1.0-6.0</t>
  </si>
  <si>
    <t xml:space="preserve">   of which: Materials</t>
  </si>
  <si>
    <t xml:space="preserve">   of which: Labour (manpower)</t>
  </si>
  <si>
    <t xml:space="preserve">   of which: Plant, logistics &amp; preliminaries</t>
  </si>
  <si>
    <t xml:space="preserve">Warranty provision (2 years)</t>
  </si>
  <si>
    <t xml:space="preserve">Margin @ 28% (items 1.0-6.0)</t>
  </si>
  <si>
    <t xml:space="preserve">Tender price items 1.0-6.0</t>
  </si>
  <si>
    <t xml:space="preserve">Provisional items 7.1-7.6 (at tender rates)</t>
  </si>
  <si>
    <t xml:space="preserve">Tender total per m² of balcony + gutter area treated (RM/m²)</t>
  </si>
  <si>
    <t xml:space="preserve">Notes to tenderer (internal):</t>
  </si>
  <si>
    <t xml:space="preserve">- All lump sums are built up on the "Rate Build-up" and "Item Pricing" sheets and can be produced as the detailed breakdown the S.O. may request.</t>
  </si>
  <si>
    <t xml:space="preserve">- Method statement, Sika brochures / PDS and the 2-year warranty undertaking to be submitted with the tender (Mandatory Requirement, item 53 of P&amp;G).</t>
  </si>
  <si>
    <t xml:space="preserve">- Working hours per S.O. approved schedule; no use of service elevator for waste - all debris lowered by crane / chute (priced in 1.0 and 3.1).</t>
  </si>
  <si>
    <t xml:space="preserve">- Quantities measured from the contract drawings; the tenderer is deemed to have obtained own quantities - site verification recommended before submission.</t>
  </si>
  <si>
    <t xml:space="preserve">SIGN AND STAMP : ____________________________          DATE : ______________</t>
  </si>
  <si>
    <t xml:space="preserve">RATES &amp; INPUTS - BDA/CT/52/2026 WATERPROOFING, WISMA BINTULU (REMAINING WORKS)</t>
  </si>
  <si>
    <t xml:space="preserve">All yellow cells are inputs. Material prices are indicative Malaysian 2025/26 figures - replace with supplier quotations (Sika Kimia Sdn Bhd, local hardware) before submission.</t>
  </si>
  <si>
    <t xml:space="preserve">1. COMMERCIAL SETTINGS</t>
  </si>
  <si>
    <t xml:space="preserve">Margin on net cost (overheads &amp; profit)</t>
  </si>
  <si>
    <t xml:space="preserve">%</t>
  </si>
  <si>
    <t xml:space="preserve">As instructed: 28%</t>
  </si>
  <si>
    <t xml:space="preserve">Warranty provision - 2 years defects / waterproofing warranty</t>
  </si>
  <si>
    <t xml:space="preserve">% of net cost of waterproofing items</t>
  </si>
  <si>
    <t xml:space="preserve">Allowance for call-backs, re-coating, Sika extended warranty admin over 2 years; applied to items 4.2-4.5, 5.0, 6.0</t>
  </si>
  <si>
    <t xml:space="preserve">Provisional Sum for SST (fixed by BQ item 8)</t>
  </si>
  <si>
    <t xml:space="preserve">RM</t>
  </si>
  <si>
    <t xml:space="preserve">Carried as stated in the BQ</t>
  </si>
  <si>
    <t xml:space="preserve">Contract programme</t>
  </si>
  <si>
    <t xml:space="preserve">weeks</t>
  </si>
  <si>
    <t xml:space="preserve">Assumed duration for preliminaries, supervision and plant hire</t>
  </si>
  <si>
    <t xml:space="preserve">Working days per week</t>
  </si>
  <si>
    <t xml:space="preserve">days</t>
  </si>
  <si>
    <t xml:space="preserve">Material wastage allowance</t>
  </si>
  <si>
    <t xml:space="preserve">18% top-up on all materials (as instructed)</t>
  </si>
  <si>
    <t xml:space="preserve">2. MATERIAL PRICES (delivered to site, excl. SST)</t>
  </si>
  <si>
    <t xml:space="preserve">SikaTop Seal-107 (MY) 25 kg set</t>
  </si>
  <si>
    <t xml:space="preserve">RM/set</t>
  </si>
  <si>
    <t xml:space="preserve">Sika Kimia / stockist quote required</t>
  </si>
  <si>
    <t xml:space="preserve">Sikalastic-632 R 21 kg pail</t>
  </si>
  <si>
    <t xml:space="preserve">RM/pail</t>
  </si>
  <si>
    <t xml:space="preserve">Sikalastic U-Primer 14 kg pail</t>
  </si>
  <si>
    <t xml:space="preserve">Sika Reemat Premium 50 m² roll</t>
  </si>
  <si>
    <t xml:space="preserve">RM/roll</t>
  </si>
  <si>
    <t xml:space="preserve">Sikaflex-11 FC+ 300 ml cartridge</t>
  </si>
  <si>
    <t xml:space="preserve">RM/no.</t>
  </si>
  <si>
    <t xml:space="preserve">SikaTop-122 / MonoTop repair mortar 25 kg</t>
  </si>
  <si>
    <t xml:space="preserve">RM/bag</t>
  </si>
  <si>
    <t xml:space="preserve">Sika Thinner C 5 L</t>
  </si>
  <si>
    <t xml:space="preserve">RM/tin</t>
  </si>
  <si>
    <t xml:space="preserve">Portland cement 50 kg bag</t>
  </si>
  <si>
    <t xml:space="preserve">Washed sand (screed)</t>
  </si>
  <si>
    <t xml:space="preserve">RM/m³</t>
  </si>
  <si>
    <t xml:space="preserve">Delivered Bintulu</t>
  </si>
  <si>
    <t xml:space="preserve">BRC A6 / 610 mesh 2.4 x 4.8 m sheet</t>
  </si>
  <si>
    <t xml:space="preserve">RM/sheet</t>
  </si>
  <si>
    <t xml:space="preserve">11.52 m² per sheet</t>
  </si>
  <si>
    <t xml:space="preserve">Movement joint - bitumen board 10 mm + PU sealant</t>
  </si>
  <si>
    <t xml:space="preserve">RM/m</t>
  </si>
  <si>
    <t xml:space="preserve">uPVC 110 mm Class D pipe 5.8 m (SIRIM)</t>
  </si>
  <si>
    <t xml:space="preserve">RM/length</t>
  </si>
  <si>
    <t xml:space="preserve">uPVC 110 mm fittings (tee / elbow / coupling) average</t>
  </si>
  <si>
    <t xml:space="preserve">uPVC 110 mm pipe clip / bracket c/w anchor</t>
  </si>
  <si>
    <t xml:space="preserve">Floor trap 110 mm c/w stainless grating cover</t>
  </si>
  <si>
    <t xml:space="preserve">4" PVC end cap</t>
  </si>
  <si>
    <t xml:space="preserve">Concrete / grout for sealing existing trap opening (per opening)</t>
  </si>
  <si>
    <t xml:space="preserve">Silicone sealant (neutral cure, as existing) 300 ml</t>
  </si>
  <si>
    <t xml:space="preserve">~8 m per cartridge</t>
  </si>
  <si>
    <t xml:space="preserve">Aluminium flashing 1.0 mm sheet, fabricated</t>
  </si>
  <si>
    <t xml:space="preserve">RM/m²</t>
  </si>
  <si>
    <t xml:space="preserve">Crack injection grout / epoxy per point</t>
  </si>
  <si>
    <t xml:space="preserve">RM/point</t>
  </si>
  <si>
    <t xml:space="preserve">Prime flex 3 mm ceiling board (supply)</t>
  </si>
  <si>
    <t xml:space="preserve">Timber (treated) for ceiling structure</t>
  </si>
  <si>
    <t xml:space="preserve">Dulux alkali-resisting primer + 2 coats Pentalite (material)</t>
  </si>
  <si>
    <t xml:space="preserve">Water &amp; misc. consumables</t>
  </si>
  <si>
    <t xml:space="preserve">3. LABOUR RATES (all-in, incl. EPF/SOCSO, levy, accommodation, transport)</t>
  </si>
  <si>
    <t xml:space="preserve">Site supervisor / foreman</t>
  </si>
  <si>
    <t xml:space="preserve">RM/day</t>
  </si>
  <si>
    <t xml:space="preserve">Skilled waterproofing applicator (Sika-trained)</t>
  </si>
  <si>
    <t xml:space="preserve">Screeder / mason</t>
  </si>
  <si>
    <t xml:space="preserve">Plumber / coring operator</t>
  </si>
  <si>
    <t xml:space="preserve">General worker</t>
  </si>
  <si>
    <t xml:space="preserve">Site safety supervisor</t>
  </si>
  <si>
    <t xml:space="preserve">Professional Engineer - coring assessment &amp; endorsed report</t>
  </si>
  <si>
    <t xml:space="preserve">RM lump sum</t>
  </si>
  <si>
    <t xml:space="preserve">Item 2.1</t>
  </si>
  <si>
    <t xml:space="preserve">Rebar scanning (GPR / cover meter) per point</t>
  </si>
  <si>
    <t xml:space="preserve">4. PLANT, LOGISTICS &amp; PRELIMINARIES RATES</t>
  </si>
  <si>
    <t xml:space="preserve">Mobile crane 100 t all-terrain, daily hire incl. operator</t>
  </si>
  <si>
    <t xml:space="preserve">From crane &amp; logistics workbook</t>
  </si>
  <si>
    <t xml:space="preserve">Crane mobilisation / demobilisation per call-out</t>
  </si>
  <si>
    <t xml:space="preserve">Rigger / signalman</t>
  </si>
  <si>
    <t xml:space="preserve">Crane lifts per day (0.85 t payload)</t>
  </si>
  <si>
    <t xml:space="preserve">lifts/day</t>
  </si>
  <si>
    <t xml:space="preserve">7 lifts/h x 7 h</t>
  </si>
  <si>
    <t xml:space="preserve">Number of crane call-outs</t>
  </si>
  <si>
    <t xml:space="preserve">no.</t>
  </si>
  <si>
    <t xml:space="preserve">Per floor + gutter</t>
  </si>
  <si>
    <t xml:space="preserve">Debris chute / skip hire per floor set-up</t>
  </si>
  <si>
    <t xml:space="preserve">RM/floor</t>
  </si>
  <si>
    <t xml:space="preserve">Waste skip / lorry disposal to contractor dumping ground</t>
  </si>
  <si>
    <t xml:space="preserve">RM/trip</t>
  </si>
  <si>
    <t xml:space="preserve">~5 t per trip</t>
  </si>
  <si>
    <t xml:space="preserve">Material delivery lorry (10 t) per trip</t>
  </si>
  <si>
    <t xml:space="preserve">Coring machine hire + diamond bit wear per point</t>
  </si>
  <si>
    <t xml:space="preserve">High-pressure water jet (150 bar) hire</t>
  </si>
  <si>
    <t xml:space="preserve">Mixer, grinder, vacuum, small tools</t>
  </si>
  <si>
    <t xml:space="preserve">RM/week</t>
  </si>
  <si>
    <t xml:space="preserve">Edge protection / mobile scaffold hire</t>
  </si>
  <si>
    <t xml:space="preserve">Perimeter guard rails + tower for raking columns</t>
  </si>
  <si>
    <t xml:space="preserve">Site office, store container, toilet, water &amp; electricity</t>
  </si>
  <si>
    <t xml:space="preserve">Insurance (CAR, workmen) &amp; performance bond charges</t>
  </si>
  <si>
    <t xml:space="preserve">% of tender</t>
  </si>
  <si>
    <t xml:space="preserve">Applied to contract sum before SST</t>
  </si>
  <si>
    <t xml:space="preserve">HSE: PPE, harnesses, signage, barricades, lifting plan</t>
  </si>
  <si>
    <t xml:space="preserve">RM lump</t>
  </si>
  <si>
    <t xml:space="preserve">Site mobilisation / demobilisation, hoarding, cleaning</t>
  </si>
  <si>
    <t xml:space="preserve">Method statement, shop drawings, as-built, testing (flood tests), Sika warranty</t>
  </si>
  <si>
    <t xml:space="preserve">5. PRODUCTIVITY / OUTPUTS (per man-day)</t>
  </si>
  <si>
    <t xml:space="preserve">Hacking existing screed &amp; waterproofing incl. loading debris</t>
  </si>
  <si>
    <t xml:space="preserve">m²/man-day</t>
  </si>
  <si>
    <t xml:space="preserve">Surface preparation, patching, cleaning (item 4.1)</t>
  </si>
  <si>
    <t xml:space="preserve">SikaTop Seal-107, 3 coats (incl. mixing)</t>
  </si>
  <si>
    <t xml:space="preserve">Per coat ~115 m²</t>
  </si>
  <si>
    <t xml:space="preserve">Cement-sand screed to falls c/w BRC, steel trowel</t>
  </si>
  <si>
    <t xml:space="preserve">Sikalastic U-Primer + 3 layers Sikalastic-632 R</t>
  </si>
  <si>
    <t xml:space="preserve">Up-turns 300 mm (107 + 632 R + Reemat)</t>
  </si>
  <si>
    <t xml:space="preserve">RC gutter cleaning (water jet) &amp; repair</t>
  </si>
  <si>
    <t xml:space="preserve">RC gutter 3 layers Sikalastic-632 R floor &amp; wall</t>
  </si>
  <si>
    <t xml:space="preserve">Coring 110 mm incl. setting out &amp; making good</t>
  </si>
  <si>
    <t xml:space="preserve">points/man-day</t>
  </si>
  <si>
    <t xml:space="preserve">2-man crew = 14 points/day</t>
  </si>
  <si>
    <t xml:space="preserve">uPVC 110 mm RWDP install on raking column</t>
  </si>
  <si>
    <t xml:space="preserve">m/man-day</t>
  </si>
  <si>
    <t xml:space="preserve">Incl. clips, fittings, access</t>
  </si>
  <si>
    <t xml:space="preserve">Silicone removal &amp; re-sealing</t>
  </si>
  <si>
    <t xml:space="preserve">Ceiling removal (item 7.1)</t>
  </si>
  <si>
    <t xml:space="preserve">Prime flex ceiling install (item 7.2)</t>
  </si>
  <si>
    <t xml:space="preserve">Ceiling painting primer + 2 coats (item 7.4)</t>
  </si>
  <si>
    <t xml:space="preserve">Aluminium flashing replacement</t>
  </si>
  <si>
    <t xml:space="preserve">Crack grouting</t>
  </si>
  <si>
    <t xml:space="preserve">QUANTITY TAKE-OFF (from CAD file Waterproofing_Contract.dwg and drawings BDA-MWS/BLD/1/2025)</t>
  </si>
  <si>
    <t xml:space="preserve">Plan areas measured from the drawing hatches; counts from drawing symbols. Yellow = inputs / assumptions to verify on site.</t>
  </si>
  <si>
    <t xml:space="preserve">1. AREAS (m²)</t>
  </si>
  <si>
    <t xml:space="preserve">Floor</t>
  </si>
  <si>
    <t xml:space="preserve">Balcony slab incl. scupper drain (m²)</t>
  </si>
  <si>
    <t xml:space="preserve">of which scupper drain (m²)</t>
  </si>
  <si>
    <t xml:space="preserve">RC gutter plan area (m²)</t>
  </si>
  <si>
    <t xml:space="preserve">Remarks</t>
  </si>
  <si>
    <t xml:space="preserve">3rd Floor</t>
  </si>
  <si>
    <t xml:space="preserve">Green floor hatch + yellow drain hatch, overlap removed</t>
  </si>
  <si>
    <t xml:space="preserve">4th Floor</t>
  </si>
  <si>
    <t xml:space="preserve">5th Floor</t>
  </si>
  <si>
    <t xml:space="preserve">6th Floor</t>
  </si>
  <si>
    <t xml:space="preserve">Drain ring lies inside the floor ring</t>
  </si>
  <si>
    <t xml:space="preserve">1st Floor</t>
  </si>
  <si>
    <t xml:space="preserve">Gutter 99.6 m OD x 1.0 m wide, 1.0 m deep (assumed)</t>
  </si>
  <si>
    <t xml:space="preserve">TOTAL</t>
  </si>
  <si>
    <t xml:space="preserve">2. DERIVED QUANTITIES</t>
  </si>
  <si>
    <t xml:space="preserve">RC gutter depth (wall height)</t>
  </si>
  <si>
    <t xml:space="preserve">m</t>
  </si>
  <si>
    <t xml:space="preserve">Assumed - not shown on drawing; verify on site</t>
  </si>
  <si>
    <t xml:space="preserve">RC gutter centre-line length</t>
  </si>
  <si>
    <t xml:space="preserve">Mean circumference</t>
  </si>
  <si>
    <t xml:space="preserve">RC gutter wall area (both sides)</t>
  </si>
  <si>
    <t xml:space="preserve">m²</t>
  </si>
  <si>
    <t xml:space="preserve">RC gutter total coated area (floor + walls)</t>
  </si>
  <si>
    <t xml:space="preserve">Item 5.0 Sikalastic-632 R</t>
  </si>
  <si>
    <t xml:space="preserve">Existing screed &amp; waterproofing to hack (item 3.1)</t>
  </si>
  <si>
    <t xml:space="preserve">Whole balcony slab 3rd-6th; BQ notes part already done - see % below</t>
  </si>
  <si>
    <t xml:space="preserve">Portion of hacking already completed by previous contractor</t>
  </si>
  <si>
    <t xml:space="preserve">Set from site inspection; 0% = price full hacking</t>
  </si>
  <si>
    <t xml:space="preserve">Existing screed thickness to remove (avg)</t>
  </si>
  <si>
    <t xml:space="preserve">Assumed 40 mm</t>
  </si>
  <si>
    <t xml:space="preserve">New screed average thickness to falls</t>
  </si>
  <si>
    <t xml:space="preserve">Assumed 50 mm avg (falls 1:80, min 30 mm at drain)</t>
  </si>
  <si>
    <t xml:space="preserve">New screed volume</t>
  </si>
  <si>
    <t xml:space="preserve">m³</t>
  </si>
  <si>
    <t xml:space="preserve">Cement for 1:3 screed (incl. 18% wastage)</t>
  </si>
  <si>
    <t xml:space="preserve">bags</t>
  </si>
  <si>
    <t xml:space="preserve">~9 bags per m³</t>
  </si>
  <si>
    <t xml:space="preserve">Sand for screed (incl. wastage)</t>
  </si>
  <si>
    <t xml:space="preserve">~1.3 m³ per m³</t>
  </si>
  <si>
    <t xml:space="preserve">BRC 610 mesh sheets (incl. laps &amp; wastage)</t>
  </si>
  <si>
    <t xml:space="preserve">sheets</t>
  </si>
  <si>
    <t xml:space="preserve">Movement joints in screed</t>
  </si>
  <si>
    <t xml:space="preserve">Bays ~5 x 5 m: approx. 1 m of joint per 5 m²</t>
  </si>
  <si>
    <t xml:space="preserve">Up-turn length along walls / glass / raking columns (3rd-6th)</t>
  </si>
  <si>
    <t xml:space="preserve">Inner ring perimeters ~643 m + 24 raking columns x 3.0 m x 4 floors ~288 m</t>
  </si>
  <si>
    <t xml:space="preserve">Up-turn height</t>
  </si>
  <si>
    <t xml:space="preserve">Item 4.5</t>
  </si>
  <si>
    <t xml:space="preserve">Up-turn area (107 + 632 R + Reemat)</t>
  </si>
  <si>
    <t xml:space="preserve">Silicone joints along wall &amp; glass at all balconies (item 6.0)</t>
  </si>
  <si>
    <t xml:space="preserve">Inner perimeters 3rd-6th ~643 m x 2 lines (floor/wall + glass)</t>
  </si>
  <si>
    <t xml:space="preserve">3. RWDP / CORING COUNTS (from drawing symbols)</t>
  </si>
  <si>
    <t xml:space="preserve">Coring points - main RWDP through slab / gutter wall</t>
  </si>
  <si>
    <t xml:space="preserve">Coring points - new floor trap</t>
  </si>
  <si>
    <t xml:space="preserve">Existing floor trap covers to replace</t>
  </si>
  <si>
    <t xml:space="preserve">1st Floor (RC gutter wall)</t>
  </si>
  <si>
    <t xml:space="preserve">Yellow symbols on 2/11</t>
  </si>
  <si>
    <t xml:space="preserve">Red + blue symbols on 4/11</t>
  </si>
  <si>
    <t xml:space="preserve">5/11</t>
  </si>
  <si>
    <t xml:space="preserve">6/11</t>
  </si>
  <si>
    <t xml:space="preserve">7/11 - existing traps maintained, covers replaced</t>
  </si>
  <si>
    <t xml:space="preserve">Total new coring points (item 2.2)</t>
  </si>
  <si>
    <t xml:space="preserve">points</t>
  </si>
  <si>
    <t xml:space="preserve">Number of RWDP downpipes (level 5 to gutter)</t>
  </si>
  <si>
    <t xml:space="preserve">One per column bay</t>
  </si>
  <si>
    <t xml:space="preserve">Pipe length per downpipe along raking column, L5 to L1 gutter</t>
  </si>
  <si>
    <t xml:space="preserve">18 m vertical x 1.35 slope factor</t>
  </si>
  <si>
    <t xml:space="preserve">uPVC 110 mm pipe total (incl. branch connections &amp; 10% wastage)</t>
  </si>
  <si>
    <t xml:space="preserve">uPVC pipe lengths (5.8 m)</t>
  </si>
  <si>
    <t xml:space="preserve">lengths</t>
  </si>
  <si>
    <t xml:space="preserve">Fittings (tees at traps, elbows, couplings)</t>
  </si>
  <si>
    <t xml:space="preserve">Pipe clips (every 1.5 m)</t>
  </si>
  <si>
    <t xml:space="preserve">Existing floor traps to decommission (end cap + concrete) - item 2.3</t>
  </si>
  <si>
    <t xml:space="preserve">Assumed equal to new traps; verify on site</t>
  </si>
  <si>
    <t xml:space="preserve">4. HOISTING (crane) - derived from the above</t>
  </si>
  <si>
    <t xml:space="preserve">Materials to hoist up (t)</t>
  </si>
  <si>
    <t xml:space="preserve">t</t>
  </si>
  <si>
    <t xml:space="preserve">Cement, sand, BRC, Sika products, pipes, plant allowance 5 t</t>
  </si>
  <si>
    <t xml:space="preserve">Debris to lower (t)</t>
  </si>
  <si>
    <t xml:space="preserve">Hacked screed at 2.0 t/m³ + gutter silt</t>
  </si>
  <si>
    <t xml:space="preserve">Number of crane lifts</t>
  </si>
  <si>
    <t xml:space="preserve">lifts</t>
  </si>
  <si>
    <t xml:space="preserve">0.85 t per lift + 30 misc. lifts</t>
  </si>
  <si>
    <t xml:space="preserve">Crane days (incl. 2 contingency days)</t>
  </si>
  <si>
    <t xml:space="preserve">Waste disposal trips</t>
  </si>
  <si>
    <t xml:space="preserve">trips</t>
  </si>
  <si>
    <t xml:space="preserve">5 t per trip + general waste</t>
  </si>
  <si>
    <t xml:space="preserve">RATE BUILD-UP - NET COST BY BQ ITEM (materials, labour, plant &amp; logistics)</t>
  </si>
  <si>
    <t xml:space="preserve">Every line is a formula linked to Quantities and Rates &amp; Inputs. Type: M = material, L = labour, P = plant / logistics / preliminaries.</t>
  </si>
  <si>
    <t xml:space="preserve">BQ item</t>
  </si>
  <si>
    <t xml:space="preserve">Cost line</t>
  </si>
  <si>
    <t xml:space="preserve">Quantity</t>
  </si>
  <si>
    <t xml:space="preserve">Type</t>
  </si>
  <si>
    <t xml:space="preserve">Basis</t>
  </si>
  <si>
    <t xml:space="preserve">PRELIMINARIES AND GENERALLY</t>
  </si>
  <si>
    <t xml:space="preserve">day</t>
  </si>
  <si>
    <t xml:space="preserve">L</t>
  </si>
  <si>
    <t xml:space="preserve">Full programme</t>
  </si>
  <si>
    <t xml:space="preserve">Site safety supervisor (working at height)</t>
  </si>
  <si>
    <t xml:space="preserve">week</t>
  </si>
  <si>
    <t xml:space="preserve">P</t>
  </si>
  <si>
    <t xml:space="preserve">Site office, store, toilet, water &amp; electricity</t>
  </si>
  <si>
    <t xml:space="preserve">Mixers, grinders, vacuum, small tools</t>
  </si>
  <si>
    <t xml:space="preserve">1</t>
  </si>
  <si>
    <t xml:space="preserve">lump</t>
  </si>
  <si>
    <t xml:space="preserve">Mobilisation / demobilisation, hoarding, daily cleaning</t>
  </si>
  <si>
    <t xml:space="preserve">Debris cleared daily; work outside office hours where directed</t>
  </si>
  <si>
    <t xml:space="preserve">Method statement, shop drawings, as-built, flood tests, Sika warranty</t>
  </si>
  <si>
    <t xml:space="preserve">Mobile crane 100 t - daily hire incl. operator</t>
  </si>
  <si>
    <t xml:space="preserve">Hoisting of materials and lowering of debris (no lifts for waste permitted)</t>
  </si>
  <si>
    <t xml:space="preserve">Crane mobilisation / demobilisation</t>
  </si>
  <si>
    <t xml:space="preserve">Riggers / signalmen (2 nos.)</t>
  </si>
  <si>
    <t xml:space="preserve">Material delivery lorry trips</t>
  </si>
  <si>
    <t xml:space="preserve">trip</t>
  </si>
  <si>
    <t xml:space="preserve">10 t per trip</t>
  </si>
  <si>
    <t xml:space="preserve">Insurance (CAR, workmen) &amp; bond charges - see Tender Summary</t>
  </si>
  <si>
    <t xml:space="preserve">0</t>
  </si>
  <si>
    <t xml:space="preserve">Calculated on the Tender Summary as % of contract sum</t>
  </si>
  <si>
    <t xml:space="preserve">CORING WORK - IDENTIFYING CORING POINTS &amp; TEST, PE REPORT</t>
  </si>
  <si>
    <t xml:space="preserve">Professional Engineer assessment &amp; endorsed report</t>
  </si>
  <si>
    <t xml:space="preserve">Rebar scanning (GPR / cover meter) at each coring point</t>
  </si>
  <si>
    <t xml:space="preserve">point</t>
  </si>
  <si>
    <t xml:space="preserve">Setting out of coring points (plumber + general worker)</t>
  </si>
  <si>
    <t xml:space="preserve">40 points per day</t>
  </si>
  <si>
    <t xml:space="preserve">CORING 110 mm DIA. TO FLOOR SLAB / RC GUTTER WALL</t>
  </si>
  <si>
    <t xml:space="preserve">Coring crew (2 men) - labour</t>
  </si>
  <si>
    <t xml:space="preserve">man-day</t>
  </si>
  <si>
    <t xml:space="preserve">Coring machine hire &amp; diamond bit wear</t>
  </si>
  <si>
    <t xml:space="preserve">Making good around cores - repair mortar</t>
  </si>
  <si>
    <t xml:space="preserve">bag</t>
  </si>
  <si>
    <t xml:space="preserve">M</t>
  </si>
  <si>
    <t xml:space="preserve">0.25 bag per point</t>
  </si>
  <si>
    <t xml:space="preserve">DECOMMISSIONING OF EXISTING RWDP</t>
  </si>
  <si>
    <t xml:space="preserve">Dewatering existing RWDP (pump hire &amp; labour)</t>
  </si>
  <si>
    <t xml:space="preserve">4</t>
  </si>
  <si>
    <t xml:space="preserve">Pump hire RM 180/day + 2 workers</t>
  </si>
  <si>
    <t xml:space="preserve">4" PVC end caps</t>
  </si>
  <si>
    <t xml:space="preserve">Concrete / grout to existing floor trap openings</t>
  </si>
  <si>
    <t xml:space="preserve">Labour - cap and concrete existing traps</t>
  </si>
  <si>
    <t xml:space="preserve">20 traps per man-day</t>
  </si>
  <si>
    <t xml:space="preserve">SUPPLY &amp; INSTALL NEW 110 mm uPVC RWDP / FLOOR TRAP</t>
  </si>
  <si>
    <t xml:space="preserve">uPVC 110 mm Class D pipe (SIRIM) 5.8 m lengths</t>
  </si>
  <si>
    <t xml:space="preserve">length</t>
  </si>
  <si>
    <t xml:space="preserve">Incl. 10% wastage in quantity</t>
  </si>
  <si>
    <t xml:space="preserve">Fittings - tees, elbows, couplings</t>
  </si>
  <si>
    <t xml:space="preserve">Pipe clips / brackets c/w anchors</t>
  </si>
  <si>
    <t xml:space="preserve">Floor traps c/w gratings (new) + replacement covers at 6th floor</t>
  </si>
  <si>
    <t xml:space="preserve">Solvent cement, sealant at penetrations (Sikaflex)</t>
  </si>
  <si>
    <t xml:space="preserve">Half cartridge per penetration</t>
  </si>
  <si>
    <t xml:space="preserve">Plumber labour - pipe installation on raking columns</t>
  </si>
  <si>
    <t xml:space="preserve">Incl. cutting access to glazing and connections to gutter</t>
  </si>
  <si>
    <t xml:space="preserve">General worker assisting (1 per plumber)</t>
  </si>
  <si>
    <t xml:space="preserve">DEMOLITION AND ASSOCIATED WORKS</t>
  </si>
  <si>
    <t xml:space="preserve">Removal of remaining debris, carting away &amp; making good</t>
  </si>
  <si>
    <t xml:space="preserve">Allowance - loading, skips covered under 3.1</t>
  </si>
  <si>
    <t xml:space="preserve">General workers - demolition &amp; making good</t>
  </si>
  <si>
    <t xml:space="preserve">12</t>
  </si>
  <si>
    <t xml:space="preserve">HACKING EXISTING CEMENT SCREED &amp; WATERPROOFING</t>
  </si>
  <si>
    <t xml:space="preserve">Hacking labour (breaker crews)</t>
  </si>
  <si>
    <t xml:space="preserve">Remaining portion only (see Quantities)</t>
  </si>
  <si>
    <t xml:space="preserve">Breaker / jack-hammer hire</t>
  </si>
  <si>
    <t xml:space="preserve">1 breaker per 3 men, RM 95/day</t>
  </si>
  <si>
    <t xml:space="preserve">Debris chute / skip set-up per floor</t>
  </si>
  <si>
    <t xml:space="preserve">floor</t>
  </si>
  <si>
    <t xml:space="preserve">Disposal to contractor dumping ground</t>
  </si>
  <si>
    <t xml:space="preserve">PREPARE SURFACE, PATCH / REPAIR CRACKS, RECTIFY PONDING, CLEAN</t>
  </si>
  <si>
    <t xml:space="preserve">Repair mortar for patching &amp; local falls</t>
  </si>
  <si>
    <t xml:space="preserve">1 bag per 25 m²</t>
  </si>
  <si>
    <t xml:space="preserve">Crack sealing - Sikaflex</t>
  </si>
  <si>
    <t xml:space="preserve">Labour - grinding, patching, cleaning</t>
  </si>
  <si>
    <t xml:space="preserve">High-pressure water jet hire</t>
  </si>
  <si>
    <t xml:space="preserve">Water &amp; consumables</t>
  </si>
  <si>
    <t xml:space="preserve">SUPPLY &amp; APPLY 3 COATS SikaTop SEAL-107 (MY) ON ENTIRE RC SLAB (3rd-6th)</t>
  </si>
  <si>
    <t xml:space="preserve">SikaTop Seal-107 25 kg sets</t>
  </si>
  <si>
    <t xml:space="preserve">set</t>
  </si>
  <si>
    <t xml:space="preserve">1.5 kg/m²/coat x 3 coats + 18%</t>
  </si>
  <si>
    <t xml:space="preserve">Skilled applicators</t>
  </si>
  <si>
    <t xml:space="preserve">General worker - mixing / carrying (1 per 2 applicators)</t>
  </si>
  <si>
    <t xml:space="preserve">Curing (misting) &amp; consumables</t>
  </si>
  <si>
    <t xml:space="preserve">CEMENT &amp; SAND SCREED TO FALLS c/w SCUPPER DRAIN, BRC 610, MOVEMENT JOINTS (3rd-6th)</t>
  </si>
  <si>
    <t xml:space="preserve">Cement 50 kg bags</t>
  </si>
  <si>
    <t xml:space="preserve">Washed sand</t>
  </si>
  <si>
    <t xml:space="preserve">BRC 610 mesh</t>
  </si>
  <si>
    <t xml:space="preserve">sheet</t>
  </si>
  <si>
    <t xml:space="preserve">Movement joints</t>
  </si>
  <si>
    <t xml:space="preserve">Screeders / masons</t>
  </si>
  <si>
    <t xml:space="preserve">Laid to falls, forming 300 x 50 mm scupper drain, steel trowel finish</t>
  </si>
  <si>
    <t xml:space="preserve">General workers - mixing &amp; barrowing (1 per screeder)</t>
  </si>
  <si>
    <t xml:space="preserve">Mixer / barrows / curing</t>
  </si>
  <si>
    <t xml:space="preserve">SUPPLY &amp; APPLY 3 LAYERS Sikalastic-632 R ON NEW SCREED &amp; SCUPPER DRAIN (3rd-6th)</t>
  </si>
  <si>
    <t xml:space="preserve">Sikalastic U-Primer 14 kg pails</t>
  </si>
  <si>
    <t xml:space="preserve">pail</t>
  </si>
  <si>
    <t xml:space="preserve">0.20 kg/m² + 18%</t>
  </si>
  <si>
    <t xml:space="preserve">Sikalastic-632 R 21 kg pails</t>
  </si>
  <si>
    <t xml:space="preserve">0.70 kg/m²/layer x 3 + 18%</t>
  </si>
  <si>
    <t xml:space="preserve">Sika Reemat Premium - drain edges &amp; outlets (300 mm strips)</t>
  </si>
  <si>
    <t xml:space="preserve">roll</t>
  </si>
  <si>
    <t xml:space="preserve">Both edges of drain rings + outlets</t>
  </si>
  <si>
    <t xml:space="preserve">Sika Thinner C</t>
  </si>
  <si>
    <t xml:space="preserve">tin</t>
  </si>
  <si>
    <t xml:space="preserve">General worker (1 per 2 applicators)</t>
  </si>
  <si>
    <t xml:space="preserve">UP-TURNS ALONG WALL, GLASS &amp; RAKING COLUMNS (items 4.2 &amp; 4.4 systems)</t>
  </si>
  <si>
    <t xml:space="preserve">SikaTop Seal-107 25 kg sets - up-turns</t>
  </si>
  <si>
    <t xml:space="preserve">Sikalastic U-Primer + 632 R - up-turns (21 kg pails equiv.)</t>
  </si>
  <si>
    <t xml:space="preserve">Sika Reemat Premium - full reinforcement of up-turns</t>
  </si>
  <si>
    <t xml:space="preserve">Fittings, accessories &amp; finishes to match existing colour</t>
  </si>
  <si>
    <t xml:space="preserve">Allowance RM 6/m</t>
  </si>
  <si>
    <t xml:space="preserve">RC GUTTER - CLEAN, REPAIR &amp; 3 LAYERS Sikalastic-632 R TO FLOOR AND WALL</t>
  </si>
  <si>
    <t xml:space="preserve">Water-jet cleaning &amp; vegetation removal - labour</t>
  </si>
  <si>
    <t xml:space="preserve">Disposal of silt / vegetation</t>
  </si>
  <si>
    <t xml:space="preserve">3</t>
  </si>
  <si>
    <t xml:space="preserve">Repair mortar - plastering to cracks &amp; honeycomb</t>
  </si>
  <si>
    <t xml:space="preserve">Sikalastic-632 R 21 kg pails - floor &amp; walls</t>
  </si>
  <si>
    <t xml:space="preserve">Sika Reemat Premium - floor/wall angles &amp; outlets</t>
  </si>
  <si>
    <t xml:space="preserve">Skilled applicators - repair &amp; coating</t>
  </si>
  <si>
    <t xml:space="preserve">SILICONE SEAL - MAKE GOOD ALONG WALL &amp; GLASS AT ALL BALCONIES</t>
  </si>
  <si>
    <t xml:space="preserve">Silicone sealant cartridges</t>
  </si>
  <si>
    <t xml:space="preserve">8 m per cartridge</t>
  </si>
  <si>
    <t xml:space="preserve">Backer rod, masking tape, cleaner</t>
  </si>
  <si>
    <t xml:space="preserve">Skilled sealant applicator - removal &amp; re-sealing</t>
  </si>
  <si>
    <t xml:space="preserve">PROVISIONAL - REMOVAL OF DEFECTIVE CEILING (per m²)</t>
  </si>
  <si>
    <t xml:space="preserve">Labour - removal, temporary dismantle of light fittings</t>
  </si>
  <si>
    <t xml:space="preserve">Per m²</t>
  </si>
  <si>
    <t xml:space="preserve">Disposal</t>
  </si>
  <si>
    <t xml:space="preserve">PROVISIONAL - NEW PRIME FLEX 3 mm CEILING (per m²)</t>
  </si>
  <si>
    <t xml:space="preserve">Prime flex board, screws, jointing compound</t>
  </si>
  <si>
    <t xml:space="preserve">Labour - install, reinstate light fittings, plaster joints</t>
  </si>
  <si>
    <t xml:space="preserve">PROVISIONAL - REPAIR CEILING WOODEN STRUCTURE (per m³)</t>
  </si>
  <si>
    <t xml:space="preserve">Treated timber</t>
  </si>
  <si>
    <t xml:space="preserve">Per m³</t>
  </si>
  <si>
    <t xml:space="preserve">Carpenter labour</t>
  </si>
  <si>
    <t xml:space="preserve">6</t>
  </si>
  <si>
    <t xml:space="preserve">PROVISIONAL - PAINTING INTERNAL CEILING, PRIMER + 2 COATS (per m²)</t>
  </si>
  <si>
    <t xml:space="preserve">Paint materials</t>
  </si>
  <si>
    <t xml:space="preserve">Painter labour</t>
  </si>
  <si>
    <t xml:space="preserve">PROVISIONAL - ALUMINIUM FLASHING 1.0 mm c/w CAULKING (per m²)</t>
  </si>
  <si>
    <t xml:space="preserve">Aluminium flashing fabricated + caulking</t>
  </si>
  <si>
    <t xml:space="preserve">Labour</t>
  </si>
  <si>
    <t xml:space="preserve">PROVISIONAL - GROUTING TO CRACKS (per point)</t>
  </si>
  <si>
    <t xml:space="preserve">Injection grout / epoxy per point</t>
  </si>
  <si>
    <t xml:space="preserve">Per point</t>
  </si>
  <si>
    <t xml:space="preserve">ITEM PRICING - NET COST, WARRANTY PROVISION, 28% MARGIN, TENDER PRICE</t>
  </si>
  <si>
    <t xml:space="preserve">Net costs are summed from the Rate Build-up by BQ item. Warranty % applies to waterproofing items only. Tender price = (net + warranty) x (1 + margin).</t>
  </si>
  <si>
    <t xml:space="preserve">Materials (RM)</t>
  </si>
  <si>
    <t xml:space="preserve">Labour (RM)</t>
  </si>
  <si>
    <t xml:space="preserve">Plant / logistics (RM)</t>
  </si>
  <si>
    <t xml:space="preserve">Net cost (RM)</t>
  </si>
  <si>
    <t xml:space="preserve">Warranty 2 yrs (RM)</t>
  </si>
  <si>
    <t xml:space="preserve">Margin 28% (RM)</t>
  </si>
  <si>
    <t xml:space="preserve">Tender price (RM)</t>
  </si>
  <si>
    <t xml:space="preserve">Price basis</t>
  </si>
  <si>
    <t xml:space="preserve">Preliminaries and Generally</t>
  </si>
  <si>
    <t xml:space="preserve">Lump sum</t>
  </si>
  <si>
    <t xml:space="preserve">Coring - identify points, tests &amp; PE report</t>
  </si>
  <si>
    <t xml:space="preserve">Coring 110 mm dia. to slab / RC gutter wall</t>
  </si>
  <si>
    <t xml:space="preserve">Decommissioning of existing RWDP</t>
  </si>
  <si>
    <t xml:space="preserve">Supply &amp; install new 110 mm uPVC RWDP / floor trap</t>
  </si>
  <si>
    <t xml:space="preserve">Demolition and associated works</t>
  </si>
  <si>
    <t xml:space="preserve">Hacking work to existing cement screed</t>
  </si>
  <si>
    <t xml:space="preserve">Prepare surface, patch / repair, rectify ponding, clean</t>
  </si>
  <si>
    <t xml:space="preserve">3 coats SikaTop Seal-107 (MY) on entire RC slab</t>
  </si>
  <si>
    <t xml:space="preserve">Cement &amp; sand screed to falls c/w scupper drain, BRC 610</t>
  </si>
  <si>
    <t xml:space="preserve">3 layers Sikalastic-632 R on screed &amp; scupper drain</t>
  </si>
  <si>
    <t xml:space="preserve">Up-turns along wall, glass &amp; raking columns</t>
  </si>
  <si>
    <t xml:space="preserve">RC Gutter - clean, repair, 3 layers Sikalastic-632 R</t>
  </si>
  <si>
    <t xml:space="preserve">Silicone seal to wall &amp; glass</t>
  </si>
  <si>
    <t xml:space="preserve">Prov. - removal of defective ceiling (rate per m²)</t>
  </si>
  <si>
    <t xml:space="preserve">Rate per unit (provisional)</t>
  </si>
  <si>
    <t xml:space="preserve">Prov. - new prime flex 3 mm ceiling (rate per m²)</t>
  </si>
  <si>
    <t xml:space="preserve">Prov. - repair ceiling wooden structure (rate per m³)</t>
  </si>
  <si>
    <t xml:space="preserve">Prov. - painting ceiling (rate per m²)</t>
  </si>
  <si>
    <t xml:space="preserve">Prov. - aluminium flashing (rate per m²)</t>
  </si>
  <si>
    <t xml:space="preserve">Prov. - grouting to cracks (rate per point)</t>
  </si>
  <si>
    <t xml:space="preserve">TOTAL (lump-sum items 1.0 - 6.0 only)</t>
  </si>
  <si>
    <t xml:space="preserve">Notes:</t>
  </si>
  <si>
    <t xml:space="preserve">1. Margin (28%) and the 2-year warranty provision are inputs on the Rates &amp; Inputs sheet. Insurance &amp; bond charges are added on the Tender Summary as a % of the contract sum.</t>
  </si>
  <si>
    <t xml:space="preserve">2. Provisional items 7.1-7.6 are priced as unit rates (incl. margin) and multiplied by the BQ provisional quantities on the Tender Summary.</t>
  </si>
  <si>
    <t xml:space="preserve">3. Item 3.1: the BQ states part of the hacking has been carried out - set the completed % on the Quantities sheet after the site visit.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</si>
</sst>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</row>
    <row r="5" customFormat="false" ht="24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0" hidden="false" customHeight="true" outlineLevel="0" collapsed="false">
      <c r="A6" s="5" t="s">
        <v>9</v>
      </c>
      <c r="B6" s="6" t="s">
        <v>10</v>
      </c>
      <c r="C6" s="7"/>
      <c r="D6" s="7" t="s">
        <v>11</v>
      </c>
      <c r="E6" s="7"/>
      <c r="F6" s="8" t="n">
        <f aca="false">'Item Pricing'!I6</f>
        <v>471539.2</v>
      </c>
    </row>
    <row r="7" customFormat="false" ht="18" hidden="false" customHeight="true" outlineLevel="0" collapsed="false">
      <c r="A7" s="9" t="s">
        <v>12</v>
      </c>
      <c r="B7" s="9" t="s">
        <v>13</v>
      </c>
      <c r="C7" s="10"/>
      <c r="D7" s="10"/>
      <c r="E7" s="10"/>
      <c r="F7" s="10"/>
    </row>
    <row r="8" customFormat="false" ht="30" hidden="false" customHeight="true" outlineLevel="0" collapsed="false">
      <c r="A8" s="5" t="s">
        <v>14</v>
      </c>
      <c r="B8" s="6" t="s">
        <v>15</v>
      </c>
      <c r="C8" s="7"/>
      <c r="D8" s="7" t="s">
        <v>11</v>
      </c>
      <c r="E8" s="7"/>
      <c r="F8" s="8" t="n">
        <f aca="false">'Item Pricing'!I7</f>
        <v>20005.28</v>
      </c>
    </row>
    <row r="9" customFormat="false" ht="30" hidden="false" customHeight="true" outlineLevel="0" collapsed="false">
      <c r="A9" s="5" t="s">
        <v>16</v>
      </c>
      <c r="B9" s="6" t="s">
        <v>17</v>
      </c>
      <c r="C9" s="7"/>
      <c r="D9" s="7" t="s">
        <v>11</v>
      </c>
      <c r="E9" s="7"/>
      <c r="F9" s="8" t="n">
        <f aca="false">'Item Pricing'!I8</f>
        <v>32260.14</v>
      </c>
    </row>
    <row r="10" customFormat="false" ht="30" hidden="false" customHeight="true" outlineLevel="0" collapsed="false">
      <c r="A10" s="5" t="s">
        <v>18</v>
      </c>
      <c r="B10" s="6" t="s">
        <v>19</v>
      </c>
      <c r="C10" s="7"/>
      <c r="D10" s="7" t="s">
        <v>11</v>
      </c>
      <c r="E10" s="7"/>
      <c r="F10" s="8" t="n">
        <f aca="false">'Item Pricing'!I9</f>
        <v>9004.42</v>
      </c>
    </row>
    <row r="11" customFormat="false" ht="30" hidden="false" customHeight="true" outlineLevel="0" collapsed="false">
      <c r="A11" s="5" t="s">
        <v>20</v>
      </c>
      <c r="B11" s="6" t="s">
        <v>21</v>
      </c>
      <c r="C11" s="7"/>
      <c r="D11" s="7" t="s">
        <v>11</v>
      </c>
      <c r="E11" s="7"/>
      <c r="F11" s="8" t="n">
        <f aca="false">'Item Pricing'!I10</f>
        <v>117104.37</v>
      </c>
    </row>
    <row r="12" customFormat="false" ht="30" hidden="false" customHeight="true" outlineLevel="0" collapsed="false">
      <c r="A12" s="5" t="s">
        <v>22</v>
      </c>
      <c r="B12" s="6" t="s">
        <v>23</v>
      </c>
      <c r="C12" s="7"/>
      <c r="D12" s="7" t="s">
        <v>11</v>
      </c>
      <c r="E12" s="7"/>
      <c r="F12" s="8" t="n">
        <f aca="false">'Item Pricing'!I11</f>
        <v>7526.4</v>
      </c>
    </row>
    <row r="13" customFormat="false" ht="30" hidden="false" customHeight="true" outlineLevel="0" collapsed="false">
      <c r="A13" s="5" t="s">
        <v>24</v>
      </c>
      <c r="B13" s="6" t="s">
        <v>25</v>
      </c>
      <c r="C13" s="7"/>
      <c r="D13" s="7" t="s">
        <v>11</v>
      </c>
      <c r="E13" s="7"/>
      <c r="F13" s="8" t="n">
        <f aca="false">'Item Pricing'!I12</f>
        <v>119279.88</v>
      </c>
    </row>
    <row r="14" customFormat="false" ht="18" hidden="false" customHeight="true" outlineLevel="0" collapsed="false">
      <c r="A14" s="9" t="s">
        <v>26</v>
      </c>
      <c r="B14" s="9" t="s">
        <v>27</v>
      </c>
      <c r="C14" s="10"/>
      <c r="D14" s="10"/>
      <c r="E14" s="10"/>
      <c r="F14" s="10"/>
    </row>
    <row r="15" customFormat="false" ht="30" hidden="false" customHeight="true" outlineLevel="0" collapsed="false">
      <c r="A15" s="5" t="s">
        <v>28</v>
      </c>
      <c r="B15" s="6" t="s">
        <v>29</v>
      </c>
      <c r="C15" s="7"/>
      <c r="D15" s="7" t="s">
        <v>11</v>
      </c>
      <c r="E15" s="7"/>
      <c r="F15" s="8" t="n">
        <f aca="false">'Item Pricing'!I13</f>
        <v>59158.48</v>
      </c>
    </row>
    <row r="16" customFormat="false" ht="30" hidden="false" customHeight="true" outlineLevel="0" collapsed="false">
      <c r="A16" s="5" t="s">
        <v>30</v>
      </c>
      <c r="B16" s="6" t="s">
        <v>31</v>
      </c>
      <c r="C16" s="7"/>
      <c r="D16" s="7" t="s">
        <v>11</v>
      </c>
      <c r="E16" s="7"/>
      <c r="F16" s="8" t="n">
        <f aca="false">'Item Pricing'!I14</f>
        <v>164184.78</v>
      </c>
    </row>
    <row r="17" customFormat="false" ht="30" hidden="false" customHeight="true" outlineLevel="0" collapsed="false">
      <c r="A17" s="5" t="s">
        <v>32</v>
      </c>
      <c r="B17" s="6" t="s">
        <v>33</v>
      </c>
      <c r="C17" s="7"/>
      <c r="D17" s="7" t="s">
        <v>11</v>
      </c>
      <c r="E17" s="7"/>
      <c r="F17" s="8" t="n">
        <f aca="false">'Item Pricing'!I15</f>
        <v>244254.12</v>
      </c>
    </row>
    <row r="18" customFormat="false" ht="30" hidden="false" customHeight="true" outlineLevel="0" collapsed="false">
      <c r="A18" s="5" t="s">
        <v>34</v>
      </c>
      <c r="B18" s="6" t="s">
        <v>35</v>
      </c>
      <c r="C18" s="7"/>
      <c r="D18" s="7" t="s">
        <v>11</v>
      </c>
      <c r="E18" s="7"/>
      <c r="F18" s="8" t="n">
        <f aca="false">'Item Pricing'!I16</f>
        <v>527230.89</v>
      </c>
    </row>
    <row r="19" customFormat="false" ht="30" hidden="false" customHeight="true" outlineLevel="0" collapsed="false">
      <c r="A19" s="5" t="s">
        <v>36</v>
      </c>
      <c r="B19" s="6" t="s">
        <v>37</v>
      </c>
      <c r="C19" s="7"/>
      <c r="D19" s="7" t="s">
        <v>11</v>
      </c>
      <c r="E19" s="7"/>
      <c r="F19" s="8" t="n">
        <f aca="false">'Item Pricing'!I17</f>
        <v>80409.22</v>
      </c>
    </row>
    <row r="20" customFormat="false" ht="30" hidden="false" customHeight="true" outlineLevel="0" collapsed="false">
      <c r="A20" s="5" t="s">
        <v>38</v>
      </c>
      <c r="B20" s="6" t="s">
        <v>39</v>
      </c>
      <c r="C20" s="7"/>
      <c r="D20" s="7" t="s">
        <v>11</v>
      </c>
      <c r="E20" s="7"/>
      <c r="F20" s="8" t="n">
        <f aca="false">'Item Pricing'!I18</f>
        <v>191246.73</v>
      </c>
    </row>
    <row r="21" customFormat="false" ht="30" hidden="false" customHeight="true" outlineLevel="0" collapsed="false">
      <c r="A21" s="5" t="s">
        <v>40</v>
      </c>
      <c r="B21" s="6" t="s">
        <v>41</v>
      </c>
      <c r="C21" s="7"/>
      <c r="D21" s="7" t="s">
        <v>11</v>
      </c>
      <c r="E21" s="7"/>
      <c r="F21" s="8" t="n">
        <f aca="false">'Item Pricing'!I19</f>
        <v>16929.76</v>
      </c>
    </row>
    <row r="22" customFormat="false" ht="18" hidden="false" customHeight="true" outlineLevel="0" collapsed="false">
      <c r="A22" s="9" t="s">
        <v>42</v>
      </c>
      <c r="B22" s="9" t="s">
        <v>43</v>
      </c>
      <c r="C22" s="10"/>
      <c r="D22" s="10"/>
      <c r="E22" s="10"/>
      <c r="F22" s="10"/>
    </row>
    <row r="23" customFormat="false" ht="30" hidden="false" customHeight="true" outlineLevel="0" collapsed="false">
      <c r="A23" s="5" t="s">
        <v>44</v>
      </c>
      <c r="B23" s="6" t="s">
        <v>45</v>
      </c>
      <c r="C23" s="11" t="n">
        <v>2500</v>
      </c>
      <c r="D23" s="7" t="s">
        <v>46</v>
      </c>
      <c r="E23" s="8" t="n">
        <f aca="false">ROUND('Item Pricing'!I20,2)</f>
        <v>7.81</v>
      </c>
      <c r="F23" s="8" t="n">
        <f aca="false">C23*E23</f>
        <v>19525</v>
      </c>
    </row>
    <row r="24" customFormat="false" ht="30" hidden="false" customHeight="true" outlineLevel="0" collapsed="false">
      <c r="A24" s="5" t="s">
        <v>47</v>
      </c>
      <c r="B24" s="6" t="s">
        <v>48</v>
      </c>
      <c r="C24" s="11" t="n">
        <v>2500</v>
      </c>
      <c r="D24" s="7" t="s">
        <v>46</v>
      </c>
      <c r="E24" s="8" t="n">
        <f aca="false">ROUND('Item Pricing'!I21,2)</f>
        <v>41.41</v>
      </c>
      <c r="F24" s="8" t="n">
        <f aca="false">C24*E24</f>
        <v>103525</v>
      </c>
    </row>
    <row r="25" customFormat="false" ht="30" hidden="false" customHeight="true" outlineLevel="0" collapsed="false">
      <c r="A25" s="5" t="s">
        <v>49</v>
      </c>
      <c r="B25" s="6" t="s">
        <v>50</v>
      </c>
      <c r="C25" s="12" t="n">
        <v>0.3</v>
      </c>
      <c r="D25" s="7" t="s">
        <v>51</v>
      </c>
      <c r="E25" s="8" t="n">
        <f aca="false">ROUND('Item Pricing'!I22,2)</f>
        <v>6292.48</v>
      </c>
      <c r="F25" s="8" t="n">
        <f aca="false">C25*E25</f>
        <v>1887.744</v>
      </c>
    </row>
    <row r="26" customFormat="false" ht="30" hidden="false" customHeight="true" outlineLevel="0" collapsed="false">
      <c r="A26" s="5" t="s">
        <v>52</v>
      </c>
      <c r="B26" s="6" t="s">
        <v>53</v>
      </c>
      <c r="C26" s="11" t="n">
        <v>2500</v>
      </c>
      <c r="D26" s="7" t="s">
        <v>46</v>
      </c>
      <c r="E26" s="8" t="n">
        <f aca="false">ROUND('Item Pricing'!I23,2)</f>
        <v>12.88</v>
      </c>
      <c r="F26" s="8" t="n">
        <f aca="false">C26*E26</f>
        <v>32200</v>
      </c>
    </row>
    <row r="27" customFormat="false" ht="30" hidden="false" customHeight="true" outlineLevel="0" collapsed="false">
      <c r="A27" s="5" t="s">
        <v>54</v>
      </c>
      <c r="B27" s="6" t="s">
        <v>55</v>
      </c>
      <c r="C27" s="11" t="n">
        <v>20</v>
      </c>
      <c r="D27" s="7" t="s">
        <v>46</v>
      </c>
      <c r="E27" s="8" t="n">
        <f aca="false">ROUND('Item Pricing'!I24,2)</f>
        <v>204.29</v>
      </c>
      <c r="F27" s="8" t="n">
        <f aca="false">C27*E27</f>
        <v>4085.8</v>
      </c>
    </row>
    <row r="28" customFormat="false" ht="30" hidden="false" customHeight="true" outlineLevel="0" collapsed="false">
      <c r="A28" s="5" t="s">
        <v>56</v>
      </c>
      <c r="B28" s="6" t="s">
        <v>57</v>
      </c>
      <c r="C28" s="11" t="n">
        <v>300</v>
      </c>
      <c r="D28" s="7" t="s">
        <v>58</v>
      </c>
      <c r="E28" s="8" t="n">
        <f aca="false">ROUND('Item Pricing'!I25,2)</f>
        <v>65.28</v>
      </c>
      <c r="F28" s="8" t="n">
        <f aca="false">C28*E28</f>
        <v>19584</v>
      </c>
    </row>
    <row r="29" customFormat="false" ht="15" hidden="false" customHeight="false" outlineLevel="0" collapsed="false">
      <c r="A29" s="7" t="s">
        <v>59</v>
      </c>
      <c r="B29" s="5" t="s">
        <v>60</v>
      </c>
      <c r="C29" s="7"/>
      <c r="D29" s="7"/>
      <c r="E29" s="7"/>
      <c r="F29" s="13" t="n">
        <f aca="false">SUM(F6:F28)</f>
        <v>2240941.214</v>
      </c>
    </row>
    <row r="30" customFormat="false" ht="15" hidden="false" customHeight="false" outlineLevel="0" collapsed="false">
      <c r="A30" s="7" t="s">
        <v>61</v>
      </c>
      <c r="B30" s="6" t="s">
        <v>62</v>
      </c>
      <c r="C30" s="7"/>
      <c r="D30" s="7"/>
      <c r="E30" s="14" t="n">
        <f aca="false">'Rates &amp; Inputs'!$B$62</f>
        <v>0.012</v>
      </c>
      <c r="F30" s="8" t="n">
        <f aca="false">ROUND(F29*E30*(1+'Rates &amp; Inputs'!$B$5),2)</f>
        <v>34420.86</v>
      </c>
    </row>
    <row r="31" customFormat="false" ht="15" hidden="false" customHeight="false" outlineLevel="0" collapsed="false">
      <c r="A31" s="7" t="s">
        <v>63</v>
      </c>
      <c r="B31" s="5" t="s">
        <v>64</v>
      </c>
      <c r="C31" s="7"/>
      <c r="D31" s="7"/>
      <c r="E31" s="7"/>
      <c r="F31" s="13" t="n">
        <f aca="false">'Rates &amp; Inputs'!$B$7</f>
        <v>80000</v>
      </c>
    </row>
    <row r="32" customFormat="false" ht="24" hidden="false" customHeight="true" outlineLevel="0" collapsed="false">
      <c r="A32" s="15"/>
      <c r="B32" s="16" t="s">
        <v>65</v>
      </c>
      <c r="C32" s="15"/>
      <c r="D32" s="15"/>
      <c r="E32" s="15"/>
      <c r="F32" s="17" t="n">
        <f aca="false">ROUND(F29+F30+F31,0)</f>
        <v>2355362</v>
      </c>
    </row>
    <row r="34" customFormat="false" ht="15" hidden="false" customHeight="false" outlineLevel="0" collapsed="false">
      <c r="B34" s="18" t="s">
        <v>66</v>
      </c>
    </row>
    <row r="35" customFormat="false" ht="15" hidden="false" customHeight="false" outlineLevel="0" collapsed="false">
      <c r="A35" s="7"/>
      <c r="B35" s="6" t="s">
        <v>67</v>
      </c>
      <c r="C35" s="7"/>
      <c r="D35" s="7"/>
      <c r="E35" s="7"/>
      <c r="F35" s="8" t="n">
        <f aca="false">'Item Pricing'!F26</f>
        <v>1580275.52245033</v>
      </c>
    </row>
    <row r="36" customFormat="false" ht="15" hidden="false" customHeight="false" outlineLevel="0" collapsed="false">
      <c r="A36" s="7"/>
      <c r="B36" s="6" t="s">
        <v>68</v>
      </c>
      <c r="C36" s="7"/>
      <c r="D36" s="7"/>
      <c r="E36" s="7"/>
      <c r="F36" s="8" t="n">
        <f aca="false">'Item Pricing'!C26</f>
        <v>871659.914255898</v>
      </c>
    </row>
    <row r="37" customFormat="false" ht="15" hidden="false" customHeight="false" outlineLevel="0" collapsed="false">
      <c r="A37" s="7"/>
      <c r="B37" s="6" t="s">
        <v>69</v>
      </c>
      <c r="C37" s="7"/>
      <c r="D37" s="7"/>
      <c r="E37" s="7"/>
      <c r="F37" s="8" t="n">
        <f aca="false">'Item Pricing'!D26</f>
        <v>323686.481495876</v>
      </c>
    </row>
    <row r="38" customFormat="false" ht="15" hidden="false" customHeight="false" outlineLevel="0" collapsed="false">
      <c r="A38" s="7"/>
      <c r="B38" s="6" t="s">
        <v>70</v>
      </c>
      <c r="C38" s="7"/>
      <c r="D38" s="7"/>
      <c r="E38" s="7"/>
      <c r="F38" s="8" t="n">
        <f aca="false">'Item Pricing'!E26</f>
        <v>384929.126698559</v>
      </c>
    </row>
    <row r="39" customFormat="false" ht="15" hidden="false" customHeight="false" outlineLevel="0" collapsed="false">
      <c r="A39" s="7"/>
      <c r="B39" s="6" t="s">
        <v>71</v>
      </c>
      <c r="C39" s="7"/>
      <c r="D39" s="7"/>
      <c r="E39" s="7"/>
      <c r="F39" s="8" t="n">
        <f aca="false">'Item Pricing'!G26</f>
        <v>29203.8981020814</v>
      </c>
    </row>
    <row r="40" customFormat="false" ht="15" hidden="false" customHeight="false" outlineLevel="0" collapsed="false">
      <c r="A40" s="7"/>
      <c r="B40" s="6" t="s">
        <v>72</v>
      </c>
      <c r="C40" s="7"/>
      <c r="D40" s="7"/>
      <c r="E40" s="7"/>
      <c r="F40" s="8" t="n">
        <f aca="false">'Item Pricing'!H26</f>
        <v>450654.237754676</v>
      </c>
    </row>
    <row r="41" customFormat="false" ht="15" hidden="false" customHeight="false" outlineLevel="0" collapsed="false">
      <c r="A41" s="7"/>
      <c r="B41" s="6" t="s">
        <v>73</v>
      </c>
      <c r="C41" s="7"/>
      <c r="D41" s="7"/>
      <c r="E41" s="7"/>
      <c r="F41" s="8" t="n">
        <f aca="false">'Item Pricing'!I26</f>
        <v>2060133.67</v>
      </c>
    </row>
    <row r="42" customFormat="false" ht="15" hidden="false" customHeight="false" outlineLevel="0" collapsed="false">
      <c r="A42" s="7"/>
      <c r="B42" s="6" t="s">
        <v>74</v>
      </c>
      <c r="C42" s="7"/>
      <c r="D42" s="7"/>
      <c r="E42" s="7"/>
      <c r="F42" s="8" t="n">
        <f aca="false">SUM(F23:F28)</f>
        <v>180807.544</v>
      </c>
    </row>
    <row r="43" customFormat="false" ht="15" hidden="false" customHeight="false" outlineLevel="0" collapsed="false">
      <c r="A43" s="7"/>
      <c r="B43" s="6" t="s">
        <v>75</v>
      </c>
      <c r="C43" s="7"/>
      <c r="D43" s="7"/>
      <c r="E43" s="7"/>
      <c r="F43" s="8" t="n">
        <f aca="false">F32/(Quantities!$B$11+Quantities!$B$17)</f>
        <v>605.826033710113</v>
      </c>
    </row>
    <row r="45" customFormat="false" ht="15" hidden="false" customHeight="false" outlineLevel="0" collapsed="false">
      <c r="B45" s="19" t="s">
        <v>76</v>
      </c>
    </row>
    <row r="46" customFormat="false" ht="15" hidden="false" customHeight="false" outlineLevel="0" collapsed="false">
      <c r="B46" s="20" t="s">
        <v>77</v>
      </c>
    </row>
    <row r="47" customFormat="false" ht="15" hidden="false" customHeight="false" outlineLevel="0" collapsed="false">
      <c r="B47" s="20" t="s">
        <v>78</v>
      </c>
    </row>
    <row r="48" customFormat="false" ht="15" hidden="false" customHeight="false" outlineLevel="0" collapsed="false">
      <c r="B48" s="20" t="s">
        <v>79</v>
      </c>
    </row>
    <row r="49" customFormat="false" ht="15" hidden="false" customHeight="false" outlineLevel="0" collapsed="false">
      <c r="B49" s="20" t="s">
        <v>80</v>
      </c>
    </row>
    <row r="51" customFormat="false" ht="15" hidden="false" customHeight="false" outlineLevel="0" collapsed="false">
      <c r="B51" s="21" t="s">
        <v>81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22" t="s">
        <v>0</v>
      </c>
    </row>
    <row r="2" customFormat="false" ht="16.15" hidden="false" customHeight="false" outlineLevel="0" collapsed="false">
      <c r="A2" s="23" t="s">
        <v>82</v>
      </c>
    </row>
    <row r="3" customFormat="false" ht="15" hidden="false" customHeight="false" outlineLevel="0" collapsed="false">
      <c r="A3" s="3" t="s">
        <v>83</v>
      </c>
    </row>
    <row r="4" customFormat="false" ht="15" hidden="false" customHeight="false" outlineLevel="0" collapsed="false">
      <c r="A4" s="24" t="s">
        <v>84</v>
      </c>
    </row>
    <row r="5" customFormat="false" ht="15" hidden="false" customHeight="false" outlineLevel="0" collapsed="false">
      <c r="A5" s="7" t="s">
        <v>85</v>
      </c>
      <c r="B5" s="25" t="n">
        <v>0.28</v>
      </c>
      <c r="C5" s="6" t="s">
        <v>86</v>
      </c>
      <c r="D5" s="26" t="s">
        <v>87</v>
      </c>
    </row>
    <row r="6" customFormat="false" ht="22.35" hidden="false" customHeight="false" outlineLevel="0" collapsed="false">
      <c r="A6" s="7" t="s">
        <v>88</v>
      </c>
      <c r="B6" s="25" t="n">
        <v>0.03</v>
      </c>
      <c r="C6" s="6" t="s">
        <v>89</v>
      </c>
      <c r="D6" s="26" t="s">
        <v>90</v>
      </c>
    </row>
    <row r="7" customFormat="false" ht="15" hidden="false" customHeight="false" outlineLevel="0" collapsed="false">
      <c r="A7" s="7" t="s">
        <v>91</v>
      </c>
      <c r="B7" s="12" t="n">
        <v>80000</v>
      </c>
      <c r="C7" s="6" t="s">
        <v>92</v>
      </c>
      <c r="D7" s="26" t="s">
        <v>93</v>
      </c>
    </row>
    <row r="8" customFormat="false" ht="15" hidden="false" customHeight="false" outlineLevel="0" collapsed="false">
      <c r="A8" s="7" t="s">
        <v>94</v>
      </c>
      <c r="B8" s="11" t="n">
        <v>16</v>
      </c>
      <c r="C8" s="6" t="s">
        <v>95</v>
      </c>
      <c r="D8" s="26" t="s">
        <v>96</v>
      </c>
    </row>
    <row r="9" customFormat="false" ht="15" hidden="false" customHeight="false" outlineLevel="0" collapsed="false">
      <c r="A9" s="7" t="s">
        <v>97</v>
      </c>
      <c r="B9" s="11" t="n">
        <v>6</v>
      </c>
      <c r="C9" s="6" t="s">
        <v>98</v>
      </c>
      <c r="D9" s="26"/>
    </row>
    <row r="10" customFormat="false" ht="15" hidden="false" customHeight="false" outlineLevel="0" collapsed="false">
      <c r="A10" s="7" t="s">
        <v>99</v>
      </c>
      <c r="B10" s="25" t="n">
        <v>0.18</v>
      </c>
      <c r="C10" s="6" t="s">
        <v>86</v>
      </c>
      <c r="D10" s="26" t="s">
        <v>100</v>
      </c>
    </row>
    <row r="12" customFormat="false" ht="15" hidden="false" customHeight="false" outlineLevel="0" collapsed="false">
      <c r="A12" s="24" t="s">
        <v>101</v>
      </c>
    </row>
    <row r="13" customFormat="false" ht="15" hidden="false" customHeight="false" outlineLevel="0" collapsed="false">
      <c r="A13" s="7" t="s">
        <v>102</v>
      </c>
      <c r="B13" s="12" t="n">
        <v>165</v>
      </c>
      <c r="C13" s="6" t="s">
        <v>103</v>
      </c>
      <c r="D13" s="26" t="s">
        <v>104</v>
      </c>
    </row>
    <row r="14" customFormat="false" ht="15" hidden="false" customHeight="false" outlineLevel="0" collapsed="false">
      <c r="A14" s="7" t="s">
        <v>105</v>
      </c>
      <c r="B14" s="12" t="n">
        <v>980</v>
      </c>
      <c r="C14" s="6" t="s">
        <v>106</v>
      </c>
      <c r="D14" s="26"/>
    </row>
    <row r="15" customFormat="false" ht="15" hidden="false" customHeight="false" outlineLevel="0" collapsed="false">
      <c r="A15" s="7" t="s">
        <v>107</v>
      </c>
      <c r="B15" s="12" t="n">
        <v>520</v>
      </c>
      <c r="C15" s="6" t="s">
        <v>106</v>
      </c>
      <c r="D15" s="26"/>
    </row>
    <row r="16" customFormat="false" ht="15" hidden="false" customHeight="false" outlineLevel="0" collapsed="false">
      <c r="A16" s="7" t="s">
        <v>108</v>
      </c>
      <c r="B16" s="12" t="n">
        <v>480</v>
      </c>
      <c r="C16" s="6" t="s">
        <v>109</v>
      </c>
      <c r="D16" s="26"/>
    </row>
    <row r="17" customFormat="false" ht="15" hidden="false" customHeight="false" outlineLevel="0" collapsed="false">
      <c r="A17" s="7" t="s">
        <v>110</v>
      </c>
      <c r="B17" s="12" t="n">
        <v>26</v>
      </c>
      <c r="C17" s="6" t="s">
        <v>111</v>
      </c>
      <c r="D17" s="26"/>
    </row>
    <row r="18" customFormat="false" ht="15" hidden="false" customHeight="false" outlineLevel="0" collapsed="false">
      <c r="A18" s="7" t="s">
        <v>112</v>
      </c>
      <c r="B18" s="12" t="n">
        <v>125</v>
      </c>
      <c r="C18" s="6" t="s">
        <v>113</v>
      </c>
      <c r="D18" s="26"/>
    </row>
    <row r="19" customFormat="false" ht="15" hidden="false" customHeight="false" outlineLevel="0" collapsed="false">
      <c r="A19" s="7" t="s">
        <v>114</v>
      </c>
      <c r="B19" s="12" t="n">
        <v>65</v>
      </c>
      <c r="C19" s="6" t="s">
        <v>115</v>
      </c>
      <c r="D19" s="26"/>
    </row>
    <row r="20" customFormat="false" ht="15" hidden="false" customHeight="false" outlineLevel="0" collapsed="false">
      <c r="A20" s="7" t="s">
        <v>116</v>
      </c>
      <c r="B20" s="12" t="n">
        <v>23</v>
      </c>
      <c r="C20" s="6" t="s">
        <v>113</v>
      </c>
      <c r="D20" s="26"/>
    </row>
    <row r="21" customFormat="false" ht="15" hidden="false" customHeight="false" outlineLevel="0" collapsed="false">
      <c r="A21" s="7" t="s">
        <v>117</v>
      </c>
      <c r="B21" s="12" t="n">
        <v>75</v>
      </c>
      <c r="C21" s="6" t="s">
        <v>118</v>
      </c>
      <c r="D21" s="26" t="s">
        <v>119</v>
      </c>
    </row>
    <row r="22" customFormat="false" ht="15" hidden="false" customHeight="false" outlineLevel="0" collapsed="false">
      <c r="A22" s="7" t="s">
        <v>120</v>
      </c>
      <c r="B22" s="12" t="n">
        <v>95</v>
      </c>
      <c r="C22" s="6" t="s">
        <v>121</v>
      </c>
      <c r="D22" s="26" t="s">
        <v>122</v>
      </c>
    </row>
    <row r="23" customFormat="false" ht="15" hidden="false" customHeight="false" outlineLevel="0" collapsed="false">
      <c r="A23" s="7" t="s">
        <v>123</v>
      </c>
      <c r="B23" s="12" t="n">
        <v>28</v>
      </c>
      <c r="C23" s="6" t="s">
        <v>124</v>
      </c>
      <c r="D23" s="26"/>
    </row>
    <row r="24" customFormat="false" ht="15" hidden="false" customHeight="false" outlineLevel="0" collapsed="false">
      <c r="A24" s="7" t="s">
        <v>125</v>
      </c>
      <c r="B24" s="12" t="n">
        <v>68</v>
      </c>
      <c r="C24" s="6" t="s">
        <v>126</v>
      </c>
      <c r="D24" s="26"/>
    </row>
    <row r="25" customFormat="false" ht="15" hidden="false" customHeight="false" outlineLevel="0" collapsed="false">
      <c r="A25" s="7" t="s">
        <v>127</v>
      </c>
      <c r="B25" s="12" t="n">
        <v>28</v>
      </c>
      <c r="C25" s="6" t="s">
        <v>111</v>
      </c>
      <c r="D25" s="26"/>
    </row>
    <row r="26" customFormat="false" ht="15" hidden="false" customHeight="false" outlineLevel="0" collapsed="false">
      <c r="A26" s="7" t="s">
        <v>128</v>
      </c>
      <c r="B26" s="12" t="n">
        <v>12</v>
      </c>
      <c r="C26" s="6" t="s">
        <v>111</v>
      </c>
      <c r="D26" s="26"/>
    </row>
    <row r="27" customFormat="false" ht="15" hidden="false" customHeight="false" outlineLevel="0" collapsed="false">
      <c r="A27" s="7" t="s">
        <v>129</v>
      </c>
      <c r="B27" s="12" t="n">
        <v>85</v>
      </c>
      <c r="C27" s="6" t="s">
        <v>111</v>
      </c>
      <c r="D27" s="26"/>
    </row>
    <row r="28" customFormat="false" ht="15" hidden="false" customHeight="false" outlineLevel="0" collapsed="false">
      <c r="A28" s="7" t="s">
        <v>130</v>
      </c>
      <c r="B28" s="12" t="n">
        <v>9</v>
      </c>
      <c r="C28" s="6" t="s">
        <v>111</v>
      </c>
      <c r="D28" s="26"/>
    </row>
    <row r="29" customFormat="false" ht="15" hidden="false" customHeight="false" outlineLevel="0" collapsed="false">
      <c r="A29" s="7" t="s">
        <v>131</v>
      </c>
      <c r="B29" s="12" t="n">
        <v>18</v>
      </c>
      <c r="C29" s="6" t="s">
        <v>111</v>
      </c>
      <c r="D29" s="26"/>
    </row>
    <row r="30" customFormat="false" ht="15" hidden="false" customHeight="false" outlineLevel="0" collapsed="false">
      <c r="A30" s="7" t="s">
        <v>132</v>
      </c>
      <c r="B30" s="12" t="n">
        <v>22</v>
      </c>
      <c r="C30" s="6" t="s">
        <v>111</v>
      </c>
      <c r="D30" s="26" t="s">
        <v>133</v>
      </c>
    </row>
    <row r="31" customFormat="false" ht="15" hidden="false" customHeight="false" outlineLevel="0" collapsed="false">
      <c r="A31" s="7" t="s">
        <v>134</v>
      </c>
      <c r="B31" s="12" t="n">
        <v>95</v>
      </c>
      <c r="C31" s="6" t="s">
        <v>135</v>
      </c>
      <c r="D31" s="26"/>
    </row>
    <row r="32" customFormat="false" ht="15" hidden="false" customHeight="false" outlineLevel="0" collapsed="false">
      <c r="A32" s="7" t="s">
        <v>136</v>
      </c>
      <c r="B32" s="12" t="n">
        <v>32</v>
      </c>
      <c r="C32" s="6" t="s">
        <v>137</v>
      </c>
      <c r="D32" s="26"/>
    </row>
    <row r="33" customFormat="false" ht="15" hidden="false" customHeight="false" outlineLevel="0" collapsed="false">
      <c r="A33" s="7" t="s">
        <v>138</v>
      </c>
      <c r="B33" s="12" t="n">
        <v>14</v>
      </c>
      <c r="C33" s="6" t="s">
        <v>135</v>
      </c>
      <c r="D33" s="26"/>
    </row>
    <row r="34" customFormat="false" ht="15" hidden="false" customHeight="false" outlineLevel="0" collapsed="false">
      <c r="A34" s="7" t="s">
        <v>139</v>
      </c>
      <c r="B34" s="12" t="n">
        <v>3200</v>
      </c>
      <c r="C34" s="6" t="s">
        <v>118</v>
      </c>
      <c r="D34" s="26"/>
    </row>
    <row r="35" customFormat="false" ht="15" hidden="false" customHeight="false" outlineLevel="0" collapsed="false">
      <c r="A35" s="7" t="s">
        <v>140</v>
      </c>
      <c r="B35" s="12" t="n">
        <v>4.5</v>
      </c>
      <c r="C35" s="6" t="s">
        <v>135</v>
      </c>
      <c r="D35" s="26"/>
    </row>
    <row r="36" customFormat="false" ht="15" hidden="false" customHeight="false" outlineLevel="0" collapsed="false">
      <c r="A36" s="7" t="s">
        <v>141</v>
      </c>
      <c r="B36" s="12" t="n">
        <v>0.5</v>
      </c>
      <c r="C36" s="6" t="s">
        <v>135</v>
      </c>
      <c r="D36" s="26"/>
    </row>
    <row r="38" customFormat="false" ht="15" hidden="false" customHeight="false" outlineLevel="0" collapsed="false">
      <c r="A38" s="24" t="s">
        <v>142</v>
      </c>
    </row>
    <row r="39" customFormat="false" ht="15" hidden="false" customHeight="false" outlineLevel="0" collapsed="false">
      <c r="A39" s="7" t="s">
        <v>143</v>
      </c>
      <c r="B39" s="12" t="n">
        <v>280</v>
      </c>
      <c r="C39" s="6" t="s">
        <v>144</v>
      </c>
      <c r="D39" s="26"/>
    </row>
    <row r="40" customFormat="false" ht="15" hidden="false" customHeight="false" outlineLevel="0" collapsed="false">
      <c r="A40" s="7" t="s">
        <v>145</v>
      </c>
      <c r="B40" s="12" t="n">
        <v>190</v>
      </c>
      <c r="C40" s="6" t="s">
        <v>144</v>
      </c>
      <c r="D40" s="26"/>
    </row>
    <row r="41" customFormat="false" ht="15" hidden="false" customHeight="false" outlineLevel="0" collapsed="false">
      <c r="A41" s="7" t="s">
        <v>146</v>
      </c>
      <c r="B41" s="12" t="n">
        <v>180</v>
      </c>
      <c r="C41" s="6" t="s">
        <v>144</v>
      </c>
      <c r="D41" s="26"/>
    </row>
    <row r="42" customFormat="false" ht="15" hidden="false" customHeight="false" outlineLevel="0" collapsed="false">
      <c r="A42" s="7" t="s">
        <v>147</v>
      </c>
      <c r="B42" s="12" t="n">
        <v>190</v>
      </c>
      <c r="C42" s="6" t="s">
        <v>144</v>
      </c>
      <c r="D42" s="26"/>
    </row>
    <row r="43" customFormat="false" ht="15" hidden="false" customHeight="false" outlineLevel="0" collapsed="false">
      <c r="A43" s="7" t="s">
        <v>148</v>
      </c>
      <c r="B43" s="12" t="n">
        <v>115</v>
      </c>
      <c r="C43" s="6" t="s">
        <v>144</v>
      </c>
      <c r="D43" s="26"/>
    </row>
    <row r="44" customFormat="false" ht="15" hidden="false" customHeight="false" outlineLevel="0" collapsed="false">
      <c r="A44" s="7" t="s">
        <v>149</v>
      </c>
      <c r="B44" s="12" t="n">
        <v>260</v>
      </c>
      <c r="C44" s="6" t="s">
        <v>144</v>
      </c>
      <c r="D44" s="26"/>
    </row>
    <row r="45" customFormat="false" ht="15" hidden="false" customHeight="false" outlineLevel="0" collapsed="false">
      <c r="A45" s="7" t="s">
        <v>150</v>
      </c>
      <c r="B45" s="12" t="n">
        <v>9000</v>
      </c>
      <c r="C45" s="6" t="s">
        <v>151</v>
      </c>
      <c r="D45" s="26" t="s">
        <v>152</v>
      </c>
    </row>
    <row r="46" customFormat="false" ht="15" hidden="false" customHeight="false" outlineLevel="0" collapsed="false">
      <c r="A46" s="7" t="s">
        <v>153</v>
      </c>
      <c r="B46" s="12" t="n">
        <v>15</v>
      </c>
      <c r="C46" s="6" t="s">
        <v>137</v>
      </c>
      <c r="D46" s="26" t="s">
        <v>152</v>
      </c>
    </row>
    <row r="48" customFormat="false" ht="15" hidden="false" customHeight="false" outlineLevel="0" collapsed="false">
      <c r="A48" s="24" t="s">
        <v>154</v>
      </c>
    </row>
    <row r="49" customFormat="false" ht="15" hidden="false" customHeight="false" outlineLevel="0" collapsed="false">
      <c r="A49" s="7" t="s">
        <v>155</v>
      </c>
      <c r="B49" s="12" t="n">
        <v>5800</v>
      </c>
      <c r="C49" s="6" t="s">
        <v>144</v>
      </c>
      <c r="D49" s="26" t="s">
        <v>156</v>
      </c>
    </row>
    <row r="50" customFormat="false" ht="15" hidden="false" customHeight="false" outlineLevel="0" collapsed="false">
      <c r="A50" s="7" t="s">
        <v>157</v>
      </c>
      <c r="B50" s="12" t="n">
        <v>8000</v>
      </c>
      <c r="C50" s="6" t="s">
        <v>111</v>
      </c>
      <c r="D50" s="26"/>
    </row>
    <row r="51" customFormat="false" ht="15" hidden="false" customHeight="false" outlineLevel="0" collapsed="false">
      <c r="A51" s="7" t="s">
        <v>158</v>
      </c>
      <c r="B51" s="12" t="n">
        <v>150</v>
      </c>
      <c r="C51" s="6" t="s">
        <v>144</v>
      </c>
      <c r="D51" s="26"/>
    </row>
    <row r="52" customFormat="false" ht="15" hidden="false" customHeight="false" outlineLevel="0" collapsed="false">
      <c r="A52" s="7" t="s">
        <v>159</v>
      </c>
      <c r="B52" s="11" t="n">
        <v>49</v>
      </c>
      <c r="C52" s="6" t="s">
        <v>160</v>
      </c>
      <c r="D52" s="26" t="s">
        <v>161</v>
      </c>
    </row>
    <row r="53" customFormat="false" ht="15" hidden="false" customHeight="false" outlineLevel="0" collapsed="false">
      <c r="A53" s="7" t="s">
        <v>162</v>
      </c>
      <c r="B53" s="11" t="n">
        <v>6</v>
      </c>
      <c r="C53" s="6" t="s">
        <v>163</v>
      </c>
      <c r="D53" s="26" t="s">
        <v>164</v>
      </c>
    </row>
    <row r="54" customFormat="false" ht="15" hidden="false" customHeight="false" outlineLevel="0" collapsed="false">
      <c r="A54" s="7" t="s">
        <v>165</v>
      </c>
      <c r="B54" s="12" t="n">
        <v>1200</v>
      </c>
      <c r="C54" s="6" t="s">
        <v>166</v>
      </c>
      <c r="D54" s="26"/>
    </row>
    <row r="55" customFormat="false" ht="15" hidden="false" customHeight="false" outlineLevel="0" collapsed="false">
      <c r="A55" s="7" t="s">
        <v>167</v>
      </c>
      <c r="B55" s="12" t="n">
        <v>480</v>
      </c>
      <c r="C55" s="6" t="s">
        <v>168</v>
      </c>
      <c r="D55" s="26" t="s">
        <v>169</v>
      </c>
    </row>
    <row r="56" customFormat="false" ht="15" hidden="false" customHeight="false" outlineLevel="0" collapsed="false">
      <c r="A56" s="7" t="s">
        <v>170</v>
      </c>
      <c r="B56" s="12" t="n">
        <v>650</v>
      </c>
      <c r="C56" s="6" t="s">
        <v>168</v>
      </c>
      <c r="D56" s="26"/>
    </row>
    <row r="57" customFormat="false" ht="15" hidden="false" customHeight="false" outlineLevel="0" collapsed="false">
      <c r="A57" s="7" t="s">
        <v>171</v>
      </c>
      <c r="B57" s="12" t="n">
        <v>22</v>
      </c>
      <c r="C57" s="6" t="s">
        <v>137</v>
      </c>
      <c r="D57" s="26"/>
    </row>
    <row r="58" customFormat="false" ht="15" hidden="false" customHeight="false" outlineLevel="0" collapsed="false">
      <c r="A58" s="7" t="s">
        <v>172</v>
      </c>
      <c r="B58" s="12" t="n">
        <v>180</v>
      </c>
      <c r="C58" s="6" t="s">
        <v>144</v>
      </c>
      <c r="D58" s="26"/>
    </row>
    <row r="59" customFormat="false" ht="15" hidden="false" customHeight="false" outlineLevel="0" collapsed="false">
      <c r="A59" s="7" t="s">
        <v>173</v>
      </c>
      <c r="B59" s="12" t="n">
        <v>900</v>
      </c>
      <c r="C59" s="6" t="s">
        <v>174</v>
      </c>
      <c r="D59" s="26"/>
    </row>
    <row r="60" customFormat="false" ht="15" hidden="false" customHeight="false" outlineLevel="0" collapsed="false">
      <c r="A60" s="7" t="s">
        <v>175</v>
      </c>
      <c r="B60" s="12" t="n">
        <v>2200</v>
      </c>
      <c r="C60" s="6" t="s">
        <v>174</v>
      </c>
      <c r="D60" s="26" t="s">
        <v>176</v>
      </c>
    </row>
    <row r="61" customFormat="false" ht="15" hidden="false" customHeight="false" outlineLevel="0" collapsed="false">
      <c r="A61" s="7" t="s">
        <v>177</v>
      </c>
      <c r="B61" s="12" t="n">
        <v>2400</v>
      </c>
      <c r="C61" s="6" t="s">
        <v>174</v>
      </c>
      <c r="D61" s="26"/>
    </row>
    <row r="62" customFormat="false" ht="15" hidden="false" customHeight="false" outlineLevel="0" collapsed="false">
      <c r="A62" s="7" t="s">
        <v>178</v>
      </c>
      <c r="B62" s="25" t="n">
        <v>0.012</v>
      </c>
      <c r="C62" s="6" t="s">
        <v>179</v>
      </c>
      <c r="D62" s="26" t="s">
        <v>180</v>
      </c>
    </row>
    <row r="63" customFormat="false" ht="15" hidden="false" customHeight="false" outlineLevel="0" collapsed="false">
      <c r="A63" s="7" t="s">
        <v>181</v>
      </c>
      <c r="B63" s="12" t="n">
        <v>9500</v>
      </c>
      <c r="C63" s="6" t="s">
        <v>182</v>
      </c>
      <c r="D63" s="26"/>
    </row>
    <row r="64" customFormat="false" ht="15" hidden="false" customHeight="false" outlineLevel="0" collapsed="false">
      <c r="A64" s="7" t="s">
        <v>183</v>
      </c>
      <c r="B64" s="12" t="n">
        <v>12000</v>
      </c>
      <c r="C64" s="6" t="s">
        <v>182</v>
      </c>
      <c r="D64" s="26"/>
    </row>
    <row r="65" customFormat="false" ht="28.35" hidden="false" customHeight="false" outlineLevel="0" collapsed="false">
      <c r="A65" s="7" t="s">
        <v>184</v>
      </c>
      <c r="B65" s="12" t="n">
        <v>6500</v>
      </c>
      <c r="C65" s="6" t="s">
        <v>182</v>
      </c>
      <c r="D65" s="26"/>
    </row>
    <row r="67" customFormat="false" ht="15" hidden="false" customHeight="false" outlineLevel="0" collapsed="false">
      <c r="A67" s="24" t="s">
        <v>185</v>
      </c>
    </row>
    <row r="68" customFormat="false" ht="15" hidden="false" customHeight="false" outlineLevel="0" collapsed="false">
      <c r="A68" s="7" t="s">
        <v>186</v>
      </c>
      <c r="B68" s="12" t="n">
        <v>7</v>
      </c>
      <c r="C68" s="6" t="s">
        <v>187</v>
      </c>
      <c r="D68" s="26"/>
    </row>
    <row r="69" customFormat="false" ht="15" hidden="false" customHeight="false" outlineLevel="0" collapsed="false">
      <c r="A69" s="7" t="s">
        <v>188</v>
      </c>
      <c r="B69" s="12" t="n">
        <v>35</v>
      </c>
      <c r="C69" s="6" t="s">
        <v>187</v>
      </c>
      <c r="D69" s="26"/>
    </row>
    <row r="70" customFormat="false" ht="15" hidden="false" customHeight="false" outlineLevel="0" collapsed="false">
      <c r="A70" s="7" t="s">
        <v>189</v>
      </c>
      <c r="B70" s="12" t="n">
        <v>38</v>
      </c>
      <c r="C70" s="6" t="s">
        <v>187</v>
      </c>
      <c r="D70" s="26" t="s">
        <v>190</v>
      </c>
    </row>
    <row r="71" customFormat="false" ht="15" hidden="false" customHeight="false" outlineLevel="0" collapsed="false">
      <c r="A71" s="7" t="s">
        <v>191</v>
      </c>
      <c r="B71" s="12" t="n">
        <v>11</v>
      </c>
      <c r="C71" s="6" t="s">
        <v>187</v>
      </c>
      <c r="D71" s="26"/>
    </row>
    <row r="72" customFormat="false" ht="15" hidden="false" customHeight="false" outlineLevel="0" collapsed="false">
      <c r="A72" s="7" t="s">
        <v>192</v>
      </c>
      <c r="B72" s="12" t="n">
        <v>32</v>
      </c>
      <c r="C72" s="6" t="s">
        <v>187</v>
      </c>
      <c r="D72" s="26"/>
    </row>
    <row r="73" customFormat="false" ht="15" hidden="false" customHeight="false" outlineLevel="0" collapsed="false">
      <c r="A73" s="7" t="s">
        <v>193</v>
      </c>
      <c r="B73" s="12" t="n">
        <v>9</v>
      </c>
      <c r="C73" s="6" t="s">
        <v>187</v>
      </c>
      <c r="D73" s="26"/>
    </row>
    <row r="74" customFormat="false" ht="15" hidden="false" customHeight="false" outlineLevel="0" collapsed="false">
      <c r="A74" s="7" t="s">
        <v>194</v>
      </c>
      <c r="B74" s="12" t="n">
        <v>22</v>
      </c>
      <c r="C74" s="6" t="s">
        <v>187</v>
      </c>
      <c r="D74" s="26"/>
    </row>
    <row r="75" customFormat="false" ht="15" hidden="false" customHeight="false" outlineLevel="0" collapsed="false">
      <c r="A75" s="7" t="s">
        <v>195</v>
      </c>
      <c r="B75" s="12" t="n">
        <v>28</v>
      </c>
      <c r="C75" s="6" t="s">
        <v>187</v>
      </c>
      <c r="D75" s="26"/>
    </row>
    <row r="76" customFormat="false" ht="15" hidden="false" customHeight="false" outlineLevel="0" collapsed="false">
      <c r="A76" s="7" t="s">
        <v>196</v>
      </c>
      <c r="B76" s="12" t="n">
        <v>7</v>
      </c>
      <c r="C76" s="6" t="s">
        <v>197</v>
      </c>
      <c r="D76" s="26" t="s">
        <v>198</v>
      </c>
    </row>
    <row r="77" customFormat="false" ht="15" hidden="false" customHeight="false" outlineLevel="0" collapsed="false">
      <c r="A77" s="7" t="s">
        <v>199</v>
      </c>
      <c r="B77" s="12" t="n">
        <v>14</v>
      </c>
      <c r="C77" s="6" t="s">
        <v>200</v>
      </c>
      <c r="D77" s="26" t="s">
        <v>201</v>
      </c>
    </row>
    <row r="78" customFormat="false" ht="15" hidden="false" customHeight="false" outlineLevel="0" collapsed="false">
      <c r="A78" s="7" t="s">
        <v>202</v>
      </c>
      <c r="B78" s="12" t="n">
        <v>35</v>
      </c>
      <c r="C78" s="6" t="s">
        <v>200</v>
      </c>
      <c r="D78" s="26"/>
    </row>
    <row r="79" customFormat="false" ht="15" hidden="false" customHeight="false" outlineLevel="0" collapsed="false">
      <c r="A79" s="7" t="s">
        <v>203</v>
      </c>
      <c r="B79" s="12" t="n">
        <v>25</v>
      </c>
      <c r="C79" s="6" t="s">
        <v>187</v>
      </c>
      <c r="D79" s="26"/>
    </row>
    <row r="80" customFormat="false" ht="15" hidden="false" customHeight="false" outlineLevel="0" collapsed="false">
      <c r="A80" s="7" t="s">
        <v>204</v>
      </c>
      <c r="B80" s="12" t="n">
        <v>12</v>
      </c>
      <c r="C80" s="6" t="s">
        <v>187</v>
      </c>
      <c r="D80" s="26"/>
    </row>
    <row r="81" customFormat="false" ht="15" hidden="false" customHeight="false" outlineLevel="0" collapsed="false">
      <c r="A81" s="7" t="s">
        <v>205</v>
      </c>
      <c r="B81" s="12" t="n">
        <v>40</v>
      </c>
      <c r="C81" s="6" t="s">
        <v>187</v>
      </c>
      <c r="D81" s="26"/>
    </row>
    <row r="82" customFormat="false" ht="15" hidden="false" customHeight="false" outlineLevel="0" collapsed="false">
      <c r="A82" s="7" t="s">
        <v>206</v>
      </c>
      <c r="B82" s="12" t="n">
        <v>4</v>
      </c>
      <c r="C82" s="6" t="s">
        <v>187</v>
      </c>
      <c r="D82" s="26"/>
    </row>
    <row r="83" customFormat="false" ht="15" hidden="false" customHeight="false" outlineLevel="0" collapsed="false">
      <c r="A83" s="7" t="s">
        <v>207</v>
      </c>
      <c r="B83" s="12" t="n">
        <v>10</v>
      </c>
      <c r="C83" s="6" t="s">
        <v>197</v>
      </c>
      <c r="D83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2" t="s">
        <v>0</v>
      </c>
    </row>
    <row r="2" customFormat="false" ht="16.15" hidden="false" customHeight="false" outlineLevel="0" collapsed="false">
      <c r="A2" s="23" t="s">
        <v>208</v>
      </c>
    </row>
    <row r="3" customFormat="false" ht="15" hidden="false" customHeight="false" outlineLevel="0" collapsed="false">
      <c r="A3" s="3" t="s">
        <v>209</v>
      </c>
    </row>
    <row r="4" customFormat="false" ht="15" hidden="false" customHeight="false" outlineLevel="0" collapsed="false">
      <c r="A4" s="24" t="s">
        <v>210</v>
      </c>
    </row>
    <row r="5" customFormat="false" ht="36" hidden="false" customHeight="true" outlineLevel="0" collapsed="false">
      <c r="A5" s="4" t="s">
        <v>211</v>
      </c>
      <c r="B5" s="4" t="s">
        <v>212</v>
      </c>
      <c r="C5" s="4" t="s">
        <v>213</v>
      </c>
      <c r="D5" s="4" t="s">
        <v>214</v>
      </c>
      <c r="E5" s="4" t="s">
        <v>215</v>
      </c>
    </row>
    <row r="6" customFormat="false" ht="15" hidden="false" customHeight="false" outlineLevel="0" collapsed="false">
      <c r="A6" s="5" t="s">
        <v>216</v>
      </c>
      <c r="B6" s="12" t="n">
        <v>1068.32</v>
      </c>
      <c r="C6" s="12" t="n">
        <v>110.49</v>
      </c>
      <c r="D6" s="12" t="n">
        <v>0</v>
      </c>
      <c r="E6" s="6" t="s">
        <v>217</v>
      </c>
    </row>
    <row r="7" customFormat="false" ht="15" hidden="false" customHeight="false" outlineLevel="0" collapsed="false">
      <c r="A7" s="5" t="s">
        <v>218</v>
      </c>
      <c r="B7" s="12" t="n">
        <v>889.81</v>
      </c>
      <c r="C7" s="12" t="n">
        <v>96.79</v>
      </c>
      <c r="D7" s="12" t="n">
        <v>0</v>
      </c>
      <c r="E7" s="6"/>
    </row>
    <row r="8" customFormat="false" ht="15" hidden="false" customHeight="false" outlineLevel="0" collapsed="false">
      <c r="A8" s="5" t="s">
        <v>219</v>
      </c>
      <c r="B8" s="12" t="n">
        <v>619.6</v>
      </c>
      <c r="C8" s="12" t="n">
        <v>72.02</v>
      </c>
      <c r="D8" s="12" t="n">
        <v>0</v>
      </c>
      <c r="E8" s="6"/>
    </row>
    <row r="9" customFormat="false" ht="15" hidden="false" customHeight="false" outlineLevel="0" collapsed="false">
      <c r="A9" s="5" t="s">
        <v>220</v>
      </c>
      <c r="B9" s="12" t="n">
        <v>380.76</v>
      </c>
      <c r="C9" s="12" t="n">
        <v>58.6</v>
      </c>
      <c r="D9" s="12" t="n">
        <v>0</v>
      </c>
      <c r="E9" s="6" t="s">
        <v>221</v>
      </c>
    </row>
    <row r="10" customFormat="false" ht="15" hidden="false" customHeight="false" outlineLevel="0" collapsed="false">
      <c r="A10" s="5" t="s">
        <v>222</v>
      </c>
      <c r="B10" s="12" t="n">
        <v>0</v>
      </c>
      <c r="C10" s="12" t="n">
        <v>0</v>
      </c>
      <c r="D10" s="12" t="n">
        <v>309.84</v>
      </c>
      <c r="E10" s="6" t="s">
        <v>223</v>
      </c>
    </row>
    <row r="11" customFormat="false" ht="15" hidden="false" customHeight="false" outlineLevel="0" collapsed="false">
      <c r="A11" s="27" t="s">
        <v>224</v>
      </c>
      <c r="B11" s="17" t="n">
        <f aca="false">SUM(B6:B10)</f>
        <v>2958.49</v>
      </c>
      <c r="C11" s="17" t="n">
        <f aca="false">SUM(C6:C10)</f>
        <v>337.9</v>
      </c>
      <c r="D11" s="17" t="n">
        <f aca="false">SUM(D6:D10)</f>
        <v>309.84</v>
      </c>
      <c r="E11" s="15"/>
    </row>
    <row r="13" customFormat="false" ht="15" hidden="false" customHeight="false" outlineLevel="0" collapsed="false">
      <c r="A13" s="24" t="s">
        <v>225</v>
      </c>
    </row>
    <row r="14" customFormat="false" ht="15" hidden="false" customHeight="true" outlineLevel="0" collapsed="false">
      <c r="A14" s="7" t="s">
        <v>226</v>
      </c>
      <c r="B14" s="12" t="n">
        <v>1</v>
      </c>
      <c r="C14" s="6" t="s">
        <v>227</v>
      </c>
      <c r="D14" s="26" t="s">
        <v>228</v>
      </c>
      <c r="E14" s="26"/>
    </row>
    <row r="15" customFormat="false" ht="15" hidden="false" customHeight="true" outlineLevel="0" collapsed="false">
      <c r="A15" s="7" t="s">
        <v>229</v>
      </c>
      <c r="B15" s="8" t="n">
        <f aca="false">PI()*(99.6+97.6)/2</f>
        <v>309.761035643954</v>
      </c>
      <c r="C15" s="6" t="s">
        <v>227</v>
      </c>
      <c r="D15" s="26" t="s">
        <v>230</v>
      </c>
      <c r="E15" s="26"/>
    </row>
    <row r="16" customFormat="false" ht="15" hidden="false" customHeight="false" outlineLevel="0" collapsed="false">
      <c r="A16" s="7" t="s">
        <v>231</v>
      </c>
      <c r="B16" s="8" t="n">
        <f aca="false">2*Quantities!$B$15*Quantities!$B$14</f>
        <v>619.522071287907</v>
      </c>
      <c r="C16" s="6" t="s">
        <v>232</v>
      </c>
      <c r="D16" s="26"/>
      <c r="E16" s="26"/>
    </row>
    <row r="17" customFormat="false" ht="15" hidden="false" customHeight="true" outlineLevel="0" collapsed="false">
      <c r="A17" s="7" t="s">
        <v>233</v>
      </c>
      <c r="B17" s="8" t="n">
        <f aca="false">Quantities!$D$11+Quantities!$B$16</f>
        <v>929.362071287907</v>
      </c>
      <c r="C17" s="6" t="s">
        <v>232</v>
      </c>
      <c r="D17" s="26" t="s">
        <v>234</v>
      </c>
      <c r="E17" s="26"/>
    </row>
    <row r="18" customFormat="false" ht="15" hidden="false" customHeight="true" outlineLevel="0" collapsed="false">
      <c r="A18" s="7" t="s">
        <v>235</v>
      </c>
      <c r="B18" s="8" t="n">
        <f aca="false">Quantities!$B$11</f>
        <v>2958.49</v>
      </c>
      <c r="C18" s="6" t="s">
        <v>232</v>
      </c>
      <c r="D18" s="26" t="s">
        <v>236</v>
      </c>
      <c r="E18" s="26"/>
    </row>
    <row r="19" customFormat="false" ht="15" hidden="false" customHeight="true" outlineLevel="0" collapsed="false">
      <c r="A19" s="7" t="s">
        <v>237</v>
      </c>
      <c r="B19" s="25" t="n">
        <v>0</v>
      </c>
      <c r="C19" s="6" t="s">
        <v>86</v>
      </c>
      <c r="D19" s="26" t="s">
        <v>238</v>
      </c>
      <c r="E19" s="26"/>
    </row>
    <row r="20" customFormat="false" ht="15" hidden="false" customHeight="true" outlineLevel="0" collapsed="false">
      <c r="A20" s="7" t="s">
        <v>239</v>
      </c>
      <c r="B20" s="12" t="n">
        <v>0.04</v>
      </c>
      <c r="C20" s="6" t="s">
        <v>227</v>
      </c>
      <c r="D20" s="26" t="s">
        <v>240</v>
      </c>
      <c r="E20" s="26"/>
    </row>
    <row r="21" customFormat="false" ht="15" hidden="false" customHeight="true" outlineLevel="0" collapsed="false">
      <c r="A21" s="7" t="s">
        <v>241</v>
      </c>
      <c r="B21" s="12" t="n">
        <v>0.05</v>
      </c>
      <c r="C21" s="6" t="s">
        <v>227</v>
      </c>
      <c r="D21" s="26" t="s">
        <v>242</v>
      </c>
      <c r="E21" s="26"/>
    </row>
    <row r="22" customFormat="false" ht="15" hidden="false" customHeight="false" outlineLevel="0" collapsed="false">
      <c r="A22" s="7" t="s">
        <v>243</v>
      </c>
      <c r="B22" s="8" t="n">
        <f aca="false">Quantities!$B$11*Quantities!$B$21</f>
        <v>147.9245</v>
      </c>
      <c r="C22" s="6" t="s">
        <v>244</v>
      </c>
      <c r="D22" s="26"/>
      <c r="E22" s="26"/>
    </row>
    <row r="23" customFormat="false" ht="15" hidden="false" customHeight="true" outlineLevel="0" collapsed="false">
      <c r="A23" s="7" t="s">
        <v>245</v>
      </c>
      <c r="B23" s="8" t="n">
        <f aca="false">Quantities!$B$22*9*(1+'Rates &amp; Inputs'!$B$10)</f>
        <v>1570.95819</v>
      </c>
      <c r="C23" s="6" t="s">
        <v>246</v>
      </c>
      <c r="D23" s="26" t="s">
        <v>247</v>
      </c>
      <c r="E23" s="26"/>
    </row>
    <row r="24" customFormat="false" ht="15" hidden="false" customHeight="true" outlineLevel="0" collapsed="false">
      <c r="A24" s="7" t="s">
        <v>248</v>
      </c>
      <c r="B24" s="8" t="n">
        <f aca="false">Quantities!$B$22*1.3*(1+'Rates &amp; Inputs'!$B$10)</f>
        <v>226.916183</v>
      </c>
      <c r="C24" s="6" t="s">
        <v>244</v>
      </c>
      <c r="D24" s="26" t="s">
        <v>249</v>
      </c>
      <c r="E24" s="26"/>
    </row>
    <row r="25" customFormat="false" ht="15" hidden="false" customHeight="false" outlineLevel="0" collapsed="false">
      <c r="A25" s="7" t="s">
        <v>250</v>
      </c>
      <c r="B25" s="8" t="n">
        <f aca="false">ROUNDUP(Quantities!$B$11/11.52*1.15*(1+'Rates &amp; Inputs'!$B$10),0)</f>
        <v>349</v>
      </c>
      <c r="C25" s="6" t="s">
        <v>251</v>
      </c>
      <c r="D25" s="26"/>
      <c r="E25" s="26"/>
    </row>
    <row r="26" customFormat="false" ht="15" hidden="false" customHeight="true" outlineLevel="0" collapsed="false">
      <c r="A26" s="7" t="s">
        <v>252</v>
      </c>
      <c r="B26" s="8" t="n">
        <f aca="false">ROUNDUP(Quantities!$B$11/25,0)*5</f>
        <v>595</v>
      </c>
      <c r="C26" s="6" t="s">
        <v>227</v>
      </c>
      <c r="D26" s="26" t="s">
        <v>253</v>
      </c>
      <c r="E26" s="26"/>
    </row>
    <row r="27" customFormat="false" ht="15" hidden="false" customHeight="true" outlineLevel="0" collapsed="false">
      <c r="A27" s="7" t="s">
        <v>254</v>
      </c>
      <c r="B27" s="12" t="n">
        <v>930</v>
      </c>
      <c r="C27" s="6" t="s">
        <v>227</v>
      </c>
      <c r="D27" s="26" t="s">
        <v>255</v>
      </c>
      <c r="E27" s="26"/>
    </row>
    <row r="28" customFormat="false" ht="15" hidden="false" customHeight="true" outlineLevel="0" collapsed="false">
      <c r="A28" s="7" t="s">
        <v>256</v>
      </c>
      <c r="B28" s="12" t="n">
        <v>0.3</v>
      </c>
      <c r="C28" s="6" t="s">
        <v>227</v>
      </c>
      <c r="D28" s="26" t="s">
        <v>257</v>
      </c>
      <c r="E28" s="26"/>
    </row>
    <row r="29" customFormat="false" ht="15" hidden="false" customHeight="false" outlineLevel="0" collapsed="false">
      <c r="A29" s="7" t="s">
        <v>258</v>
      </c>
      <c r="B29" s="8" t="n">
        <f aca="false">Quantities!$B$27*Quantities!$B$28</f>
        <v>279</v>
      </c>
      <c r="C29" s="6" t="s">
        <v>232</v>
      </c>
      <c r="D29" s="26"/>
      <c r="E29" s="26"/>
    </row>
    <row r="30" customFormat="false" ht="15" hidden="false" customHeight="true" outlineLevel="0" collapsed="false">
      <c r="A30" s="7" t="s">
        <v>259</v>
      </c>
      <c r="B30" s="12" t="n">
        <v>1300</v>
      </c>
      <c r="C30" s="6" t="s">
        <v>227</v>
      </c>
      <c r="D30" s="26" t="s">
        <v>260</v>
      </c>
      <c r="E30" s="26"/>
    </row>
    <row r="32" customFormat="false" ht="15" hidden="false" customHeight="false" outlineLevel="0" collapsed="false">
      <c r="A32" s="24" t="s">
        <v>261</v>
      </c>
    </row>
    <row r="33" customFormat="false" ht="39.75" hidden="false" customHeight="true" outlineLevel="0" collapsed="false">
      <c r="A33" s="4" t="s">
        <v>211</v>
      </c>
      <c r="B33" s="4" t="s">
        <v>262</v>
      </c>
      <c r="C33" s="4" t="s">
        <v>263</v>
      </c>
      <c r="D33" s="4" t="s">
        <v>264</v>
      </c>
      <c r="E33" s="4" t="s">
        <v>215</v>
      </c>
    </row>
    <row r="34" customFormat="false" ht="15" hidden="false" customHeight="false" outlineLevel="0" collapsed="false">
      <c r="A34" s="5" t="s">
        <v>265</v>
      </c>
      <c r="B34" s="11" t="n">
        <v>48</v>
      </c>
      <c r="C34" s="11" t="n">
        <v>0</v>
      </c>
      <c r="D34" s="11" t="n">
        <v>0</v>
      </c>
      <c r="E34" s="6" t="s">
        <v>266</v>
      </c>
    </row>
    <row r="35" customFormat="false" ht="15" hidden="false" customHeight="false" outlineLevel="0" collapsed="false">
      <c r="A35" s="5" t="s">
        <v>216</v>
      </c>
      <c r="B35" s="11" t="n">
        <v>49</v>
      </c>
      <c r="C35" s="11" t="n">
        <v>49</v>
      </c>
      <c r="D35" s="11" t="n">
        <v>0</v>
      </c>
      <c r="E35" s="6" t="s">
        <v>267</v>
      </c>
    </row>
    <row r="36" customFormat="false" ht="15" hidden="false" customHeight="false" outlineLevel="0" collapsed="false">
      <c r="A36" s="5" t="s">
        <v>218</v>
      </c>
      <c r="B36" s="11" t="n">
        <v>49</v>
      </c>
      <c r="C36" s="11" t="n">
        <v>48</v>
      </c>
      <c r="D36" s="11" t="n">
        <v>0</v>
      </c>
      <c r="E36" s="6" t="s">
        <v>268</v>
      </c>
    </row>
    <row r="37" customFormat="false" ht="15" hidden="false" customHeight="false" outlineLevel="0" collapsed="false">
      <c r="A37" s="5" t="s">
        <v>219</v>
      </c>
      <c r="B37" s="11" t="n">
        <v>1</v>
      </c>
      <c r="C37" s="11" t="n">
        <v>49</v>
      </c>
      <c r="D37" s="11" t="n">
        <v>0</v>
      </c>
      <c r="E37" s="6" t="s">
        <v>269</v>
      </c>
    </row>
    <row r="38" customFormat="false" ht="15" hidden="false" customHeight="false" outlineLevel="0" collapsed="false">
      <c r="A38" s="5" t="s">
        <v>220</v>
      </c>
      <c r="B38" s="11" t="n">
        <v>0</v>
      </c>
      <c r="C38" s="11" t="n">
        <v>0</v>
      </c>
      <c r="D38" s="11" t="n">
        <v>12</v>
      </c>
      <c r="E38" s="6" t="s">
        <v>270</v>
      </c>
    </row>
    <row r="39" customFormat="false" ht="15" hidden="false" customHeight="false" outlineLevel="0" collapsed="false">
      <c r="A39" s="27" t="s">
        <v>224</v>
      </c>
      <c r="B39" s="28" t="n">
        <f aca="false">SUM(B34:B38)</f>
        <v>147</v>
      </c>
      <c r="C39" s="28" t="n">
        <f aca="false">SUM(C34:C38)</f>
        <v>146</v>
      </c>
      <c r="D39" s="28" t="n">
        <f aca="false">SUM(D34:D38)</f>
        <v>12</v>
      </c>
      <c r="E39" s="15"/>
    </row>
    <row r="40" customFormat="false" ht="15" hidden="false" customHeight="false" outlineLevel="0" collapsed="false">
      <c r="A40" s="7" t="s">
        <v>271</v>
      </c>
      <c r="B40" s="8" t="n">
        <f aca="false">Quantities!$B$39+Quantities!$C$39</f>
        <v>293</v>
      </c>
      <c r="C40" s="6" t="s">
        <v>272</v>
      </c>
      <c r="D40" s="26"/>
      <c r="E40" s="26"/>
    </row>
    <row r="41" customFormat="false" ht="15" hidden="false" customHeight="true" outlineLevel="0" collapsed="false">
      <c r="A41" s="7" t="s">
        <v>273</v>
      </c>
      <c r="B41" s="11" t="n">
        <v>49</v>
      </c>
      <c r="C41" s="6" t="s">
        <v>163</v>
      </c>
      <c r="D41" s="26" t="s">
        <v>274</v>
      </c>
      <c r="E41" s="26"/>
    </row>
    <row r="42" customFormat="false" ht="15" hidden="false" customHeight="true" outlineLevel="0" collapsed="false">
      <c r="A42" s="7" t="s">
        <v>275</v>
      </c>
      <c r="B42" s="12" t="n">
        <v>24</v>
      </c>
      <c r="C42" s="6" t="s">
        <v>227</v>
      </c>
      <c r="D42" s="26" t="s">
        <v>276</v>
      </c>
      <c r="E42" s="26"/>
    </row>
    <row r="43" customFormat="false" ht="15" hidden="false" customHeight="false" outlineLevel="0" collapsed="false">
      <c r="A43" s="7" t="s">
        <v>277</v>
      </c>
      <c r="B43" s="8" t="n">
        <f aca="false">(Quantities!$B$41*Quantities!$B$42+Quantities!$C$39*1)*1.1</f>
        <v>1454.2</v>
      </c>
      <c r="C43" s="6" t="s">
        <v>227</v>
      </c>
      <c r="D43" s="26"/>
      <c r="E43" s="26"/>
    </row>
    <row r="44" customFormat="false" ht="15" hidden="false" customHeight="false" outlineLevel="0" collapsed="false">
      <c r="A44" s="7" t="s">
        <v>278</v>
      </c>
      <c r="B44" s="8" t="n">
        <f aca="false">ROUNDUP(Quantities!$B$43/5.8,0)</f>
        <v>251</v>
      </c>
      <c r="C44" s="6" t="s">
        <v>279</v>
      </c>
      <c r="D44" s="26"/>
      <c r="E44" s="26"/>
    </row>
    <row r="45" customFormat="false" ht="15" hidden="false" customHeight="false" outlineLevel="0" collapsed="false">
      <c r="A45" s="7" t="s">
        <v>280</v>
      </c>
      <c r="B45" s="8" t="n">
        <f aca="false">Quantities!$C$39+2*Quantities!$B$41+ROUNDUP(Quantities!$B$43/5.8,0)</f>
        <v>495</v>
      </c>
      <c r="C45" s="6" t="s">
        <v>163</v>
      </c>
      <c r="D45" s="26"/>
      <c r="E45" s="26"/>
    </row>
    <row r="46" customFormat="false" ht="15" hidden="false" customHeight="false" outlineLevel="0" collapsed="false">
      <c r="A46" s="7" t="s">
        <v>281</v>
      </c>
      <c r="B46" s="8" t="n">
        <f aca="false">ROUNDUP(Quantities!$B$43/1.5,0)</f>
        <v>970</v>
      </c>
      <c r="C46" s="6" t="s">
        <v>163</v>
      </c>
      <c r="D46" s="26"/>
      <c r="E46" s="26"/>
    </row>
    <row r="47" customFormat="false" ht="15" hidden="false" customHeight="true" outlineLevel="0" collapsed="false">
      <c r="A47" s="7" t="s">
        <v>282</v>
      </c>
      <c r="B47" s="11" t="n">
        <v>146</v>
      </c>
      <c r="C47" s="6" t="s">
        <v>163</v>
      </c>
      <c r="D47" s="26" t="s">
        <v>283</v>
      </c>
      <c r="E47" s="26"/>
    </row>
    <row r="49" customFormat="false" ht="15" hidden="false" customHeight="false" outlineLevel="0" collapsed="false">
      <c r="A49" s="24" t="s">
        <v>284</v>
      </c>
    </row>
    <row r="50" customFormat="false" ht="15" hidden="false" customHeight="true" outlineLevel="0" collapsed="false">
      <c r="A50" s="7" t="s">
        <v>285</v>
      </c>
      <c r="B50" s="8" t="n">
        <f aca="false">(Quantities!$B$23*0.05+Quantities!$B$24*1.5+Quantities!$B$25*0.03+Quantities!$B$11*3*1.5*(1+'Rates &amp; Inputs'!$B$10)/1000+(Quantities!$B$11+Quantities!$B$17+Quantities!$B$29)*(0.2+2.1)*(1+'Rates &amp; Inputs'!$B$10)/1000+Quantities!$B$43*0.0021+5)</f>
        <v>464.464422421475</v>
      </c>
      <c r="C50" s="6" t="s">
        <v>286</v>
      </c>
      <c r="D50" s="26" t="s">
        <v>287</v>
      </c>
      <c r="E50" s="26"/>
    </row>
    <row r="51" customFormat="false" ht="15" hidden="false" customHeight="true" outlineLevel="0" collapsed="false">
      <c r="A51" s="7" t="s">
        <v>288</v>
      </c>
      <c r="B51" s="8" t="n">
        <f aca="false">Quantities!$B$18*(1-Quantities!$B$19)*Quantities!$B$20*2+Quantities!$D$11*0.02</f>
        <v>242.876</v>
      </c>
      <c r="C51" s="6" t="s">
        <v>286</v>
      </c>
      <c r="D51" s="26" t="s">
        <v>289</v>
      </c>
      <c r="E51" s="26"/>
    </row>
    <row r="52" customFormat="false" ht="15" hidden="false" customHeight="true" outlineLevel="0" collapsed="false">
      <c r="A52" s="7" t="s">
        <v>290</v>
      </c>
      <c r="B52" s="8" t="n">
        <f aca="false">ROUNDUP(Quantities!$B$50/0.85,0)+ROUNDUP(Quantities!$B$51/0.85,0)+30</f>
        <v>863</v>
      </c>
      <c r="C52" s="6" t="s">
        <v>291</v>
      </c>
      <c r="D52" s="26" t="s">
        <v>292</v>
      </c>
      <c r="E52" s="26"/>
    </row>
    <row r="53" customFormat="false" ht="15" hidden="false" customHeight="false" outlineLevel="0" collapsed="false">
      <c r="A53" s="7" t="s">
        <v>293</v>
      </c>
      <c r="B53" s="8" t="n">
        <f aca="false">ROUNDUP(Quantities!$B$52/'Rates &amp; Inputs'!$B$52,0)+2</f>
        <v>20</v>
      </c>
      <c r="C53" s="6" t="s">
        <v>98</v>
      </c>
      <c r="D53" s="26"/>
      <c r="E53" s="26"/>
    </row>
    <row r="54" customFormat="false" ht="15" hidden="false" customHeight="true" outlineLevel="0" collapsed="false">
      <c r="A54" s="7" t="s">
        <v>294</v>
      </c>
      <c r="B54" s="8" t="n">
        <f aca="false">ROUNDUP(Quantities!$B$51/5,0)+6</f>
        <v>55</v>
      </c>
      <c r="C54" s="6" t="s">
        <v>295</v>
      </c>
      <c r="D54" s="26" t="s">
        <v>296</v>
      </c>
      <c r="E54" s="26"/>
    </row>
  </sheetData>
  <mergeCells count="30"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40:E40"/>
    <mergeCell ref="D41:E41"/>
    <mergeCell ref="D42:E42"/>
    <mergeCell ref="D43:E43"/>
    <mergeCell ref="D44:E44"/>
    <mergeCell ref="D45:E45"/>
    <mergeCell ref="D46:E46"/>
    <mergeCell ref="D47:E47"/>
    <mergeCell ref="D50:E50"/>
    <mergeCell ref="D51:E51"/>
    <mergeCell ref="D52:E52"/>
    <mergeCell ref="D53:E53"/>
    <mergeCell ref="D54:E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5"/>
    <col collapsed="false" customWidth="true" hidden="false" outlineLevel="0" max="8" min="8" style="0" width="52"/>
  </cols>
  <sheetData>
    <row r="1" customFormat="false" ht="15" hidden="false" customHeight="false" outlineLevel="0" collapsed="false">
      <c r="A1" s="22" t="s">
        <v>0</v>
      </c>
    </row>
    <row r="2" customFormat="false" ht="16.15" hidden="false" customHeight="false" outlineLevel="0" collapsed="false">
      <c r="A2" s="23" t="s">
        <v>297</v>
      </c>
    </row>
    <row r="3" customFormat="false" ht="15" hidden="false" customHeight="false" outlineLevel="0" collapsed="false">
      <c r="A3" s="3" t="s">
        <v>298</v>
      </c>
    </row>
    <row r="5" customFormat="false" ht="27.75" hidden="false" customHeight="true" outlineLevel="0" collapsed="false">
      <c r="A5" s="4" t="s">
        <v>299</v>
      </c>
      <c r="B5" s="4" t="s">
        <v>300</v>
      </c>
      <c r="C5" s="4" t="s">
        <v>301</v>
      </c>
      <c r="D5" s="4" t="s">
        <v>6</v>
      </c>
      <c r="E5" s="4" t="s">
        <v>7</v>
      </c>
      <c r="F5" s="4" t="s">
        <v>302</v>
      </c>
      <c r="G5" s="4" t="s">
        <v>8</v>
      </c>
      <c r="H5" s="4" t="s">
        <v>303</v>
      </c>
    </row>
    <row r="6" customFormat="false" ht="15" hidden="false" customHeight="false" outlineLevel="0" collapsed="false">
      <c r="A6" s="29" t="s">
        <v>9</v>
      </c>
      <c r="B6" s="29" t="s">
        <v>304</v>
      </c>
      <c r="C6" s="30"/>
      <c r="D6" s="30"/>
      <c r="E6" s="30"/>
      <c r="F6" s="30"/>
      <c r="G6" s="30"/>
      <c r="H6" s="30"/>
    </row>
    <row r="7" customFormat="false" ht="15" hidden="false" customHeight="false" outlineLevel="0" collapsed="false">
      <c r="A7" s="7" t="s">
        <v>9</v>
      </c>
      <c r="B7" s="6" t="s">
        <v>143</v>
      </c>
      <c r="C7" s="8" t="n">
        <f aca="false">'Rates &amp; Inputs'!$B$8*'Rates &amp; Inputs'!$B$9</f>
        <v>96</v>
      </c>
      <c r="D7" s="6" t="s">
        <v>305</v>
      </c>
      <c r="E7" s="8" t="n">
        <f aca="false">'Rates &amp; Inputs'!$B$39</f>
        <v>280</v>
      </c>
      <c r="F7" s="7" t="s">
        <v>306</v>
      </c>
      <c r="G7" s="8" t="n">
        <f aca="false">C7*E7</f>
        <v>26880</v>
      </c>
      <c r="H7" s="26" t="s">
        <v>307</v>
      </c>
    </row>
    <row r="8" customFormat="false" ht="15" hidden="false" customHeight="false" outlineLevel="0" collapsed="false">
      <c r="A8" s="7" t="s">
        <v>9</v>
      </c>
      <c r="B8" s="6" t="s">
        <v>308</v>
      </c>
      <c r="C8" s="8" t="n">
        <f aca="false">'Rates &amp; Inputs'!$B$8*'Rates &amp; Inputs'!$B$9</f>
        <v>96</v>
      </c>
      <c r="D8" s="6" t="s">
        <v>305</v>
      </c>
      <c r="E8" s="8" t="n">
        <f aca="false">'Rates &amp; Inputs'!$B$44</f>
        <v>260</v>
      </c>
      <c r="F8" s="7" t="s">
        <v>306</v>
      </c>
      <c r="G8" s="8" t="n">
        <f aca="false">C8*E8</f>
        <v>24960</v>
      </c>
      <c r="H8" s="26" t="s">
        <v>307</v>
      </c>
    </row>
    <row r="9" customFormat="false" ht="15" hidden="false" customHeight="false" outlineLevel="0" collapsed="false">
      <c r="A9" s="7" t="s">
        <v>9</v>
      </c>
      <c r="B9" s="6" t="s">
        <v>175</v>
      </c>
      <c r="C9" s="8" t="n">
        <f aca="false">'Rates &amp; Inputs'!$B$8</f>
        <v>16</v>
      </c>
      <c r="D9" s="6" t="s">
        <v>309</v>
      </c>
      <c r="E9" s="8" t="n">
        <f aca="false">'Rates &amp; Inputs'!$B$60</f>
        <v>2200</v>
      </c>
      <c r="F9" s="7" t="s">
        <v>310</v>
      </c>
      <c r="G9" s="8" t="n">
        <f aca="false">C9*E9</f>
        <v>35200</v>
      </c>
      <c r="H9" s="26"/>
    </row>
    <row r="10" customFormat="false" ht="15" hidden="false" customHeight="false" outlineLevel="0" collapsed="false">
      <c r="A10" s="7" t="s">
        <v>9</v>
      </c>
      <c r="B10" s="6" t="s">
        <v>311</v>
      </c>
      <c r="C10" s="8" t="n">
        <f aca="false">'Rates &amp; Inputs'!$B$8</f>
        <v>16</v>
      </c>
      <c r="D10" s="6" t="s">
        <v>309</v>
      </c>
      <c r="E10" s="8" t="n">
        <f aca="false">'Rates &amp; Inputs'!$B$61</f>
        <v>2400</v>
      </c>
      <c r="F10" s="7" t="s">
        <v>310</v>
      </c>
      <c r="G10" s="8" t="n">
        <f aca="false">C10*E10</f>
        <v>38400</v>
      </c>
      <c r="H10" s="26"/>
    </row>
    <row r="11" customFormat="false" ht="15" hidden="false" customHeight="false" outlineLevel="0" collapsed="false">
      <c r="A11" s="7" t="s">
        <v>9</v>
      </c>
      <c r="B11" s="6" t="s">
        <v>312</v>
      </c>
      <c r="C11" s="8" t="n">
        <f aca="false">'Rates &amp; Inputs'!$B$8</f>
        <v>16</v>
      </c>
      <c r="D11" s="6" t="s">
        <v>309</v>
      </c>
      <c r="E11" s="8" t="n">
        <f aca="false">'Rates &amp; Inputs'!$B$59</f>
        <v>900</v>
      </c>
      <c r="F11" s="7" t="s">
        <v>310</v>
      </c>
      <c r="G11" s="8" t="n">
        <f aca="false">C11*E11</f>
        <v>14400</v>
      </c>
      <c r="H11" s="26"/>
    </row>
    <row r="12" customFormat="false" ht="15" hidden="false" customHeight="false" outlineLevel="0" collapsed="false">
      <c r="A12" s="7" t="s">
        <v>9</v>
      </c>
      <c r="B12" s="6" t="s">
        <v>181</v>
      </c>
      <c r="C12" s="8" t="s">
        <v>313</v>
      </c>
      <c r="D12" s="6" t="s">
        <v>314</v>
      </c>
      <c r="E12" s="8" t="n">
        <f aca="false">'Rates &amp; Inputs'!$B$63</f>
        <v>9500</v>
      </c>
      <c r="F12" s="7" t="s">
        <v>310</v>
      </c>
      <c r="G12" s="8" t="n">
        <f aca="false">C12*E12</f>
        <v>9500</v>
      </c>
      <c r="H12" s="26"/>
    </row>
    <row r="13" customFormat="false" ht="15" hidden="false" customHeight="false" outlineLevel="0" collapsed="false">
      <c r="A13" s="7" t="s">
        <v>9</v>
      </c>
      <c r="B13" s="6" t="s">
        <v>315</v>
      </c>
      <c r="C13" s="8" t="s">
        <v>313</v>
      </c>
      <c r="D13" s="6" t="s">
        <v>314</v>
      </c>
      <c r="E13" s="8" t="n">
        <f aca="false">'Rates &amp; Inputs'!$B$64</f>
        <v>12000</v>
      </c>
      <c r="F13" s="7" t="s">
        <v>310</v>
      </c>
      <c r="G13" s="8" t="n">
        <f aca="false">C13*E13</f>
        <v>12000</v>
      </c>
      <c r="H13" s="26" t="s">
        <v>316</v>
      </c>
    </row>
    <row r="14" customFormat="false" ht="15" hidden="false" customHeight="false" outlineLevel="0" collapsed="false">
      <c r="A14" s="7" t="s">
        <v>9</v>
      </c>
      <c r="B14" s="6" t="s">
        <v>317</v>
      </c>
      <c r="C14" s="8" t="s">
        <v>313</v>
      </c>
      <c r="D14" s="6" t="s">
        <v>314</v>
      </c>
      <c r="E14" s="8" t="n">
        <f aca="false">'Rates &amp; Inputs'!$B$65</f>
        <v>6500</v>
      </c>
      <c r="F14" s="7" t="s">
        <v>310</v>
      </c>
      <c r="G14" s="8" t="n">
        <f aca="false">C14*E14</f>
        <v>6500</v>
      </c>
      <c r="H14" s="26"/>
    </row>
    <row r="15" customFormat="false" ht="22.35" hidden="false" customHeight="false" outlineLevel="0" collapsed="false">
      <c r="A15" s="7" t="s">
        <v>9</v>
      </c>
      <c r="B15" s="6" t="s">
        <v>318</v>
      </c>
      <c r="C15" s="8" t="n">
        <f aca="false">Quantities!$B$53</f>
        <v>20</v>
      </c>
      <c r="D15" s="6" t="s">
        <v>305</v>
      </c>
      <c r="E15" s="8" t="n">
        <f aca="false">'Rates &amp; Inputs'!$B$49</f>
        <v>5800</v>
      </c>
      <c r="F15" s="7" t="s">
        <v>310</v>
      </c>
      <c r="G15" s="8" t="n">
        <f aca="false">C15*E15</f>
        <v>116000</v>
      </c>
      <c r="H15" s="26" t="s">
        <v>319</v>
      </c>
    </row>
    <row r="16" customFormat="false" ht="15" hidden="false" customHeight="false" outlineLevel="0" collapsed="false">
      <c r="A16" s="7" t="s">
        <v>9</v>
      </c>
      <c r="B16" s="6" t="s">
        <v>320</v>
      </c>
      <c r="C16" s="8" t="n">
        <f aca="false">'Rates &amp; Inputs'!$B$53</f>
        <v>6</v>
      </c>
      <c r="D16" s="6" t="s">
        <v>163</v>
      </c>
      <c r="E16" s="8" t="n">
        <f aca="false">'Rates &amp; Inputs'!$B$50</f>
        <v>8000</v>
      </c>
      <c r="F16" s="7" t="s">
        <v>310</v>
      </c>
      <c r="G16" s="8" t="n">
        <f aca="false">C16*E16</f>
        <v>48000</v>
      </c>
      <c r="H16" s="26"/>
    </row>
    <row r="17" customFormat="false" ht="15" hidden="false" customHeight="false" outlineLevel="0" collapsed="false">
      <c r="A17" s="7" t="s">
        <v>9</v>
      </c>
      <c r="B17" s="6" t="s">
        <v>321</v>
      </c>
      <c r="C17" s="8" t="n">
        <f aca="false">2*Quantities!$B$53</f>
        <v>40</v>
      </c>
      <c r="D17" s="6" t="s">
        <v>305</v>
      </c>
      <c r="E17" s="8" t="n">
        <f aca="false">'Rates &amp; Inputs'!$B$51</f>
        <v>150</v>
      </c>
      <c r="F17" s="7" t="s">
        <v>310</v>
      </c>
      <c r="G17" s="8" t="n">
        <f aca="false">C17*E17</f>
        <v>6000</v>
      </c>
      <c r="H17" s="26"/>
    </row>
    <row r="18" customFormat="false" ht="15" hidden="false" customHeight="false" outlineLevel="0" collapsed="false">
      <c r="A18" s="7" t="s">
        <v>9</v>
      </c>
      <c r="B18" s="6" t="s">
        <v>322</v>
      </c>
      <c r="C18" s="8" t="n">
        <f aca="false">ROUNDUP(Quantities!$B$50/10,0)</f>
        <v>47</v>
      </c>
      <c r="D18" s="6" t="s">
        <v>323</v>
      </c>
      <c r="E18" s="8" t="n">
        <f aca="false">'Rates &amp; Inputs'!$B$56</f>
        <v>650</v>
      </c>
      <c r="F18" s="7" t="s">
        <v>310</v>
      </c>
      <c r="G18" s="8" t="n">
        <f aca="false">C18*E18</f>
        <v>30550</v>
      </c>
      <c r="H18" s="26" t="s">
        <v>324</v>
      </c>
    </row>
    <row r="19" customFormat="false" ht="15" hidden="false" customHeight="false" outlineLevel="0" collapsed="false">
      <c r="A19" s="7" t="s">
        <v>9</v>
      </c>
      <c r="B19" s="6" t="s">
        <v>325</v>
      </c>
      <c r="C19" s="8" t="s">
        <v>326</v>
      </c>
      <c r="D19" s="6" t="s">
        <v>314</v>
      </c>
      <c r="E19" s="8" t="s">
        <v>326</v>
      </c>
      <c r="F19" s="7" t="s">
        <v>310</v>
      </c>
      <c r="G19" s="8" t="n">
        <f aca="false">C19*E19</f>
        <v>0</v>
      </c>
      <c r="H19" s="26" t="s">
        <v>327</v>
      </c>
    </row>
    <row r="20" customFormat="false" ht="15" hidden="false" customHeight="false" outlineLevel="0" collapsed="false">
      <c r="A20" s="29" t="s">
        <v>14</v>
      </c>
      <c r="B20" s="29" t="s">
        <v>328</v>
      </c>
      <c r="C20" s="30"/>
      <c r="D20" s="30"/>
      <c r="E20" s="30"/>
      <c r="F20" s="30"/>
      <c r="G20" s="30"/>
      <c r="H20" s="30"/>
    </row>
    <row r="21" customFormat="false" ht="15" hidden="false" customHeight="false" outlineLevel="0" collapsed="false">
      <c r="A21" s="7" t="s">
        <v>14</v>
      </c>
      <c r="B21" s="6" t="s">
        <v>329</v>
      </c>
      <c r="C21" s="8" t="s">
        <v>313</v>
      </c>
      <c r="D21" s="6" t="s">
        <v>314</v>
      </c>
      <c r="E21" s="8" t="n">
        <f aca="false">'Rates &amp; Inputs'!$B$45</f>
        <v>9000</v>
      </c>
      <c r="F21" s="7" t="s">
        <v>306</v>
      </c>
      <c r="G21" s="8" t="n">
        <f aca="false">C21*E21</f>
        <v>9000</v>
      </c>
      <c r="H21" s="26"/>
    </row>
    <row r="22" customFormat="false" ht="15" hidden="false" customHeight="false" outlineLevel="0" collapsed="false">
      <c r="A22" s="7" t="s">
        <v>14</v>
      </c>
      <c r="B22" s="6" t="s">
        <v>330</v>
      </c>
      <c r="C22" s="8" t="n">
        <f aca="false">Quantities!$B$40</f>
        <v>293</v>
      </c>
      <c r="D22" s="6" t="s">
        <v>331</v>
      </c>
      <c r="E22" s="8" t="n">
        <f aca="false">'Rates &amp; Inputs'!$B$46</f>
        <v>15</v>
      </c>
      <c r="F22" s="7" t="s">
        <v>306</v>
      </c>
      <c r="G22" s="8" t="n">
        <f aca="false">C22*E22</f>
        <v>4395</v>
      </c>
      <c r="H22" s="26"/>
    </row>
    <row r="23" customFormat="false" ht="15" hidden="false" customHeight="false" outlineLevel="0" collapsed="false">
      <c r="A23" s="7" t="s">
        <v>14</v>
      </c>
      <c r="B23" s="6" t="s">
        <v>332</v>
      </c>
      <c r="C23" s="8" t="n">
        <f aca="false">Quantities!$B$40/40</f>
        <v>7.325</v>
      </c>
      <c r="D23" s="6" t="s">
        <v>305</v>
      </c>
      <c r="E23" s="8" t="n">
        <f aca="false">'Rates &amp; Inputs'!$B$42+'Rates &amp; Inputs'!$B$43</f>
        <v>305</v>
      </c>
      <c r="F23" s="7" t="s">
        <v>306</v>
      </c>
      <c r="G23" s="8" t="n">
        <f aca="false">C23*E23</f>
        <v>2234.125</v>
      </c>
      <c r="H23" s="26" t="s">
        <v>333</v>
      </c>
    </row>
    <row r="24" customFormat="false" ht="15" hidden="false" customHeight="false" outlineLevel="0" collapsed="false">
      <c r="A24" s="29" t="s">
        <v>16</v>
      </c>
      <c r="B24" s="29" t="s">
        <v>334</v>
      </c>
      <c r="C24" s="30"/>
      <c r="D24" s="30"/>
      <c r="E24" s="30"/>
      <c r="F24" s="30"/>
      <c r="G24" s="30"/>
      <c r="H24" s="30"/>
    </row>
    <row r="25" customFormat="false" ht="15" hidden="false" customHeight="false" outlineLevel="0" collapsed="false">
      <c r="A25" s="7" t="s">
        <v>16</v>
      </c>
      <c r="B25" s="6" t="s">
        <v>335</v>
      </c>
      <c r="C25" s="8" t="n">
        <f aca="false">Quantities!$B$40/'Rates &amp; Inputs'!$B$76</f>
        <v>41.8571428571429</v>
      </c>
      <c r="D25" s="6" t="s">
        <v>336</v>
      </c>
      <c r="E25" s="8" t="n">
        <f aca="false">'Rates &amp; Inputs'!$B$42</f>
        <v>190</v>
      </c>
      <c r="F25" s="7" t="s">
        <v>306</v>
      </c>
      <c r="G25" s="8" t="n">
        <f aca="false">C25*E25</f>
        <v>7952.85714285714</v>
      </c>
      <c r="H25" s="26"/>
    </row>
    <row r="26" customFormat="false" ht="15" hidden="false" customHeight="false" outlineLevel="0" collapsed="false">
      <c r="A26" s="7" t="s">
        <v>16</v>
      </c>
      <c r="B26" s="6" t="s">
        <v>337</v>
      </c>
      <c r="C26" s="8" t="n">
        <f aca="false">Quantities!$B$40</f>
        <v>293</v>
      </c>
      <c r="D26" s="6" t="s">
        <v>331</v>
      </c>
      <c r="E26" s="8" t="n">
        <f aca="false">'Rates &amp; Inputs'!$B$57</f>
        <v>22</v>
      </c>
      <c r="F26" s="7" t="s">
        <v>310</v>
      </c>
      <c r="G26" s="8" t="n">
        <f aca="false">C26*E26</f>
        <v>6446</v>
      </c>
      <c r="H26" s="26"/>
    </row>
    <row r="27" customFormat="false" ht="15" hidden="false" customHeight="false" outlineLevel="0" collapsed="false">
      <c r="A27" s="7" t="s">
        <v>16</v>
      </c>
      <c r="B27" s="6" t="s">
        <v>338</v>
      </c>
      <c r="C27" s="8" t="n">
        <f aca="false">Quantities!$B$40*0.25*(1+'Rates &amp; Inputs'!$B$10)</f>
        <v>86.435</v>
      </c>
      <c r="D27" s="6" t="s">
        <v>339</v>
      </c>
      <c r="E27" s="8" t="n">
        <f aca="false">'Rates &amp; Inputs'!$B$18</f>
        <v>125</v>
      </c>
      <c r="F27" s="7" t="s">
        <v>340</v>
      </c>
      <c r="G27" s="8" t="n">
        <f aca="false">C27*E27</f>
        <v>10804.375</v>
      </c>
      <c r="H27" s="26" t="s">
        <v>341</v>
      </c>
    </row>
    <row r="28" customFormat="false" ht="15" hidden="false" customHeight="false" outlineLevel="0" collapsed="false">
      <c r="A28" s="29" t="s">
        <v>18</v>
      </c>
      <c r="B28" s="29" t="s">
        <v>342</v>
      </c>
      <c r="C28" s="30"/>
      <c r="D28" s="30"/>
      <c r="E28" s="30"/>
      <c r="F28" s="30"/>
      <c r="G28" s="30"/>
      <c r="H28" s="30"/>
    </row>
    <row r="29" customFormat="false" ht="15" hidden="false" customHeight="false" outlineLevel="0" collapsed="false">
      <c r="A29" s="7" t="s">
        <v>18</v>
      </c>
      <c r="B29" s="6" t="s">
        <v>343</v>
      </c>
      <c r="C29" s="8" t="s">
        <v>344</v>
      </c>
      <c r="D29" s="6" t="s">
        <v>305</v>
      </c>
      <c r="E29" s="8" t="n">
        <f aca="false">'Rates &amp; Inputs'!$B$43*2+180</f>
        <v>410</v>
      </c>
      <c r="F29" s="7" t="s">
        <v>306</v>
      </c>
      <c r="G29" s="8" t="n">
        <f aca="false">C29*E29</f>
        <v>1640</v>
      </c>
      <c r="H29" s="26" t="s">
        <v>345</v>
      </c>
    </row>
    <row r="30" customFormat="false" ht="15" hidden="false" customHeight="false" outlineLevel="0" collapsed="false">
      <c r="A30" s="7" t="s">
        <v>18</v>
      </c>
      <c r="B30" s="6" t="s">
        <v>346</v>
      </c>
      <c r="C30" s="8" t="n">
        <f aca="false">Quantities!$B$47*1.05</f>
        <v>153.3</v>
      </c>
      <c r="D30" s="6" t="s">
        <v>163</v>
      </c>
      <c r="E30" s="8" t="n">
        <f aca="false">'Rates &amp; Inputs'!$B$28</f>
        <v>9</v>
      </c>
      <c r="F30" s="7" t="s">
        <v>340</v>
      </c>
      <c r="G30" s="8" t="n">
        <f aca="false">C30*E30</f>
        <v>1379.7</v>
      </c>
      <c r="H30" s="26"/>
    </row>
    <row r="31" customFormat="false" ht="15" hidden="false" customHeight="false" outlineLevel="0" collapsed="false">
      <c r="A31" s="7" t="s">
        <v>18</v>
      </c>
      <c r="B31" s="6" t="s">
        <v>347</v>
      </c>
      <c r="C31" s="8" t="n">
        <f aca="false">Quantities!$B$47</f>
        <v>146</v>
      </c>
      <c r="D31" s="6" t="s">
        <v>163</v>
      </c>
      <c r="E31" s="8" t="n">
        <f aca="false">'Rates &amp; Inputs'!$B$29</f>
        <v>18</v>
      </c>
      <c r="F31" s="7" t="s">
        <v>340</v>
      </c>
      <c r="G31" s="8" t="n">
        <f aca="false">C31*E31</f>
        <v>2628</v>
      </c>
      <c r="H31" s="26"/>
    </row>
    <row r="32" customFormat="false" ht="15" hidden="false" customHeight="false" outlineLevel="0" collapsed="false">
      <c r="A32" s="7" t="s">
        <v>18</v>
      </c>
      <c r="B32" s="6" t="s">
        <v>348</v>
      </c>
      <c r="C32" s="8" t="n">
        <f aca="false">Quantities!$B$47/20</f>
        <v>7.3</v>
      </c>
      <c r="D32" s="6" t="s">
        <v>336</v>
      </c>
      <c r="E32" s="8" t="n">
        <f aca="false">'Rates &amp; Inputs'!$B$42</f>
        <v>190</v>
      </c>
      <c r="F32" s="7" t="s">
        <v>306</v>
      </c>
      <c r="G32" s="8" t="n">
        <f aca="false">C32*E32</f>
        <v>1387</v>
      </c>
      <c r="H32" s="26" t="s">
        <v>349</v>
      </c>
    </row>
    <row r="33" customFormat="false" ht="15" hidden="false" customHeight="false" outlineLevel="0" collapsed="false">
      <c r="A33" s="29" t="s">
        <v>20</v>
      </c>
      <c r="B33" s="29" t="s">
        <v>350</v>
      </c>
      <c r="C33" s="30"/>
      <c r="D33" s="30"/>
      <c r="E33" s="30"/>
      <c r="F33" s="30"/>
      <c r="G33" s="30"/>
      <c r="H33" s="30"/>
    </row>
    <row r="34" customFormat="false" ht="15" hidden="false" customHeight="false" outlineLevel="0" collapsed="false">
      <c r="A34" s="7" t="s">
        <v>20</v>
      </c>
      <c r="B34" s="6" t="s">
        <v>351</v>
      </c>
      <c r="C34" s="8" t="n">
        <f aca="false">Quantities!$B$44</f>
        <v>251</v>
      </c>
      <c r="D34" s="6" t="s">
        <v>352</v>
      </c>
      <c r="E34" s="8" t="n">
        <f aca="false">'Rates &amp; Inputs'!$B$24</f>
        <v>68</v>
      </c>
      <c r="F34" s="7" t="s">
        <v>340</v>
      </c>
      <c r="G34" s="8" t="n">
        <f aca="false">C34*E34</f>
        <v>17068</v>
      </c>
      <c r="H34" s="26" t="s">
        <v>353</v>
      </c>
    </row>
    <row r="35" customFormat="false" ht="15" hidden="false" customHeight="false" outlineLevel="0" collapsed="false">
      <c r="A35" s="7" t="s">
        <v>20</v>
      </c>
      <c r="B35" s="6" t="s">
        <v>354</v>
      </c>
      <c r="C35" s="8" t="n">
        <f aca="false">Quantities!$B$45</f>
        <v>495</v>
      </c>
      <c r="D35" s="6" t="s">
        <v>163</v>
      </c>
      <c r="E35" s="8" t="n">
        <f aca="false">'Rates &amp; Inputs'!$B$25</f>
        <v>28</v>
      </c>
      <c r="F35" s="7" t="s">
        <v>340</v>
      </c>
      <c r="G35" s="8" t="n">
        <f aca="false">C35*E35</f>
        <v>13860</v>
      </c>
      <c r="H35" s="26"/>
    </row>
    <row r="36" customFormat="false" ht="15" hidden="false" customHeight="false" outlineLevel="0" collapsed="false">
      <c r="A36" s="7" t="s">
        <v>20</v>
      </c>
      <c r="B36" s="6" t="s">
        <v>355</v>
      </c>
      <c r="C36" s="8" t="n">
        <f aca="false">Quantities!$B$46</f>
        <v>970</v>
      </c>
      <c r="D36" s="6" t="s">
        <v>163</v>
      </c>
      <c r="E36" s="8" t="n">
        <f aca="false">'Rates &amp; Inputs'!$B$26</f>
        <v>12</v>
      </c>
      <c r="F36" s="7" t="s">
        <v>340</v>
      </c>
      <c r="G36" s="8" t="n">
        <f aca="false">C36*E36</f>
        <v>11640</v>
      </c>
      <c r="H36" s="26"/>
    </row>
    <row r="37" customFormat="false" ht="15" hidden="false" customHeight="false" outlineLevel="0" collapsed="false">
      <c r="A37" s="7" t="s">
        <v>20</v>
      </c>
      <c r="B37" s="6" t="s">
        <v>356</v>
      </c>
      <c r="C37" s="8" t="n">
        <f aca="false">Quantities!$C$39+Quantities!$D$39</f>
        <v>158</v>
      </c>
      <c r="D37" s="6" t="s">
        <v>163</v>
      </c>
      <c r="E37" s="8" t="n">
        <f aca="false">'Rates &amp; Inputs'!$B$27</f>
        <v>85</v>
      </c>
      <c r="F37" s="7" t="s">
        <v>340</v>
      </c>
      <c r="G37" s="8" t="n">
        <f aca="false">C37*E37</f>
        <v>13430</v>
      </c>
      <c r="H37" s="26"/>
    </row>
    <row r="38" customFormat="false" ht="15" hidden="false" customHeight="false" outlineLevel="0" collapsed="false">
      <c r="A38" s="7" t="s">
        <v>20</v>
      </c>
      <c r="B38" s="6" t="s">
        <v>357</v>
      </c>
      <c r="C38" s="8" t="n">
        <f aca="false">(Quantities!$B$40)*0.5</f>
        <v>146.5</v>
      </c>
      <c r="D38" s="6" t="s">
        <v>163</v>
      </c>
      <c r="E38" s="8" t="n">
        <f aca="false">'Rates &amp; Inputs'!$B$17</f>
        <v>26</v>
      </c>
      <c r="F38" s="7" t="s">
        <v>340</v>
      </c>
      <c r="G38" s="8" t="n">
        <f aca="false">C38*E38</f>
        <v>3809</v>
      </c>
      <c r="H38" s="26" t="s">
        <v>358</v>
      </c>
    </row>
    <row r="39" customFormat="false" ht="15" hidden="false" customHeight="false" outlineLevel="0" collapsed="false">
      <c r="A39" s="7" t="s">
        <v>20</v>
      </c>
      <c r="B39" s="6" t="s">
        <v>359</v>
      </c>
      <c r="C39" s="8" t="n">
        <f aca="false">Quantities!$B$43/'Rates &amp; Inputs'!$B$77</f>
        <v>103.871428571429</v>
      </c>
      <c r="D39" s="6" t="s">
        <v>336</v>
      </c>
      <c r="E39" s="8" t="n">
        <f aca="false">'Rates &amp; Inputs'!$B$42</f>
        <v>190</v>
      </c>
      <c r="F39" s="7" t="s">
        <v>306</v>
      </c>
      <c r="G39" s="8" t="n">
        <f aca="false">C39*E39</f>
        <v>19735.5714285714</v>
      </c>
      <c r="H39" s="26" t="s">
        <v>360</v>
      </c>
    </row>
    <row r="40" customFormat="false" ht="15" hidden="false" customHeight="false" outlineLevel="0" collapsed="false">
      <c r="A40" s="7" t="s">
        <v>20</v>
      </c>
      <c r="B40" s="6" t="s">
        <v>361</v>
      </c>
      <c r="C40" s="8" t="n">
        <f aca="false">Quantities!$B$43/'Rates &amp; Inputs'!$B$77</f>
        <v>103.871428571429</v>
      </c>
      <c r="D40" s="6" t="s">
        <v>336</v>
      </c>
      <c r="E40" s="8" t="n">
        <f aca="false">'Rates &amp; Inputs'!$B$43</f>
        <v>115</v>
      </c>
      <c r="F40" s="7" t="s">
        <v>306</v>
      </c>
      <c r="G40" s="8" t="n">
        <f aca="false">C40*E40</f>
        <v>11945.2142857143</v>
      </c>
      <c r="H40" s="26"/>
    </row>
    <row r="41" customFormat="false" ht="15" hidden="false" customHeight="false" outlineLevel="0" collapsed="false">
      <c r="A41" s="29" t="s">
        <v>22</v>
      </c>
      <c r="B41" s="29" t="s">
        <v>362</v>
      </c>
      <c r="C41" s="30"/>
      <c r="D41" s="30"/>
      <c r="E41" s="30"/>
      <c r="F41" s="30"/>
      <c r="G41" s="30"/>
      <c r="H41" s="30"/>
    </row>
    <row r="42" customFormat="false" ht="15" hidden="false" customHeight="false" outlineLevel="0" collapsed="false">
      <c r="A42" s="7" t="s">
        <v>22</v>
      </c>
      <c r="B42" s="6" t="s">
        <v>363</v>
      </c>
      <c r="C42" s="8" t="s">
        <v>313</v>
      </c>
      <c r="D42" s="6" t="s">
        <v>314</v>
      </c>
      <c r="E42" s="8" t="n">
        <f aca="false">4500</f>
        <v>4500</v>
      </c>
      <c r="F42" s="7" t="s">
        <v>310</v>
      </c>
      <c r="G42" s="8" t="n">
        <f aca="false">C42*E42</f>
        <v>4500</v>
      </c>
      <c r="H42" s="26" t="s">
        <v>364</v>
      </c>
    </row>
    <row r="43" customFormat="false" ht="15" hidden="false" customHeight="false" outlineLevel="0" collapsed="false">
      <c r="A43" s="7" t="s">
        <v>22</v>
      </c>
      <c r="B43" s="6" t="s">
        <v>365</v>
      </c>
      <c r="C43" s="8" t="s">
        <v>366</v>
      </c>
      <c r="D43" s="6" t="s">
        <v>336</v>
      </c>
      <c r="E43" s="8" t="n">
        <f aca="false">'Rates &amp; Inputs'!$B$43</f>
        <v>115</v>
      </c>
      <c r="F43" s="7" t="s">
        <v>306</v>
      </c>
      <c r="G43" s="8" t="n">
        <f aca="false">C43*E43</f>
        <v>1380</v>
      </c>
      <c r="H43" s="26"/>
    </row>
    <row r="44" customFormat="false" ht="15" hidden="false" customHeight="false" outlineLevel="0" collapsed="false">
      <c r="A44" s="29" t="s">
        <v>24</v>
      </c>
      <c r="B44" s="29" t="s">
        <v>367</v>
      </c>
      <c r="C44" s="30"/>
      <c r="D44" s="30"/>
      <c r="E44" s="30"/>
      <c r="F44" s="30"/>
      <c r="G44" s="30"/>
      <c r="H44" s="30"/>
    </row>
    <row r="45" customFormat="false" ht="15" hidden="false" customHeight="false" outlineLevel="0" collapsed="false">
      <c r="A45" s="7" t="s">
        <v>24</v>
      </c>
      <c r="B45" s="6" t="s">
        <v>368</v>
      </c>
      <c r="C45" s="8" t="n">
        <f aca="false">Quantities!$B$18*(1-Quantities!$B$19)/'Rates &amp; Inputs'!$B$68</f>
        <v>422.641428571429</v>
      </c>
      <c r="D45" s="6" t="s">
        <v>336</v>
      </c>
      <c r="E45" s="8" t="n">
        <f aca="false">'Rates &amp; Inputs'!$B$43</f>
        <v>115</v>
      </c>
      <c r="F45" s="7" t="s">
        <v>306</v>
      </c>
      <c r="G45" s="8" t="n">
        <f aca="false">C45*E45</f>
        <v>48603.7642857143</v>
      </c>
      <c r="H45" s="26" t="s">
        <v>369</v>
      </c>
    </row>
    <row r="46" customFormat="false" ht="15" hidden="false" customHeight="false" outlineLevel="0" collapsed="false">
      <c r="A46" s="7" t="s">
        <v>24</v>
      </c>
      <c r="B46" s="6" t="s">
        <v>370</v>
      </c>
      <c r="C46" s="8" t="n">
        <f aca="false">Quantities!$B$18*(1-Quantities!$B$19)/'Rates &amp; Inputs'!$B$68/3</f>
        <v>140.880476190476</v>
      </c>
      <c r="D46" s="6" t="s">
        <v>305</v>
      </c>
      <c r="E46" s="8" t="n">
        <f aca="false">95</f>
        <v>95</v>
      </c>
      <c r="F46" s="7" t="s">
        <v>310</v>
      </c>
      <c r="G46" s="8" t="n">
        <f aca="false">C46*E46</f>
        <v>13383.6452380952</v>
      </c>
      <c r="H46" s="26" t="s">
        <v>371</v>
      </c>
    </row>
    <row r="47" customFormat="false" ht="15" hidden="false" customHeight="false" outlineLevel="0" collapsed="false">
      <c r="A47" s="7" t="s">
        <v>24</v>
      </c>
      <c r="B47" s="6" t="s">
        <v>372</v>
      </c>
      <c r="C47" s="8" t="s">
        <v>344</v>
      </c>
      <c r="D47" s="6" t="s">
        <v>373</v>
      </c>
      <c r="E47" s="8" t="n">
        <f aca="false">'Rates &amp; Inputs'!$B$54</f>
        <v>1200</v>
      </c>
      <c r="F47" s="7" t="s">
        <v>310</v>
      </c>
      <c r="G47" s="8" t="n">
        <f aca="false">C47*E47</f>
        <v>4800</v>
      </c>
      <c r="H47" s="26"/>
    </row>
    <row r="48" customFormat="false" ht="15" hidden="false" customHeight="false" outlineLevel="0" collapsed="false">
      <c r="A48" s="7" t="s">
        <v>24</v>
      </c>
      <c r="B48" s="6" t="s">
        <v>374</v>
      </c>
      <c r="C48" s="8" t="n">
        <f aca="false">Quantities!$B$54</f>
        <v>55</v>
      </c>
      <c r="D48" s="6" t="s">
        <v>323</v>
      </c>
      <c r="E48" s="8" t="n">
        <f aca="false">'Rates &amp; Inputs'!$B$55</f>
        <v>480</v>
      </c>
      <c r="F48" s="7" t="s">
        <v>310</v>
      </c>
      <c r="G48" s="8" t="n">
        <f aca="false">C48*E48</f>
        <v>26400</v>
      </c>
      <c r="H48" s="26"/>
    </row>
    <row r="49" customFormat="false" ht="15" hidden="false" customHeight="false" outlineLevel="0" collapsed="false">
      <c r="A49" s="29" t="s">
        <v>28</v>
      </c>
      <c r="B49" s="29" t="s">
        <v>375</v>
      </c>
      <c r="C49" s="30"/>
      <c r="D49" s="30"/>
      <c r="E49" s="30"/>
      <c r="F49" s="30"/>
      <c r="G49" s="30"/>
      <c r="H49" s="30"/>
    </row>
    <row r="50" customFormat="false" ht="15" hidden="false" customHeight="false" outlineLevel="0" collapsed="false">
      <c r="A50" s="7" t="s">
        <v>28</v>
      </c>
      <c r="B50" s="6" t="s">
        <v>376</v>
      </c>
      <c r="C50" s="8" t="n">
        <f aca="false">Quantities!$B$11*0.04*(1+'Rates &amp; Inputs'!$B$10)</f>
        <v>139.640728</v>
      </c>
      <c r="D50" s="6" t="s">
        <v>339</v>
      </c>
      <c r="E50" s="8" t="n">
        <f aca="false">'Rates &amp; Inputs'!$B$18</f>
        <v>125</v>
      </c>
      <c r="F50" s="7" t="s">
        <v>340</v>
      </c>
      <c r="G50" s="8" t="n">
        <f aca="false">C50*E50</f>
        <v>17455.091</v>
      </c>
      <c r="H50" s="26" t="s">
        <v>377</v>
      </c>
    </row>
    <row r="51" customFormat="false" ht="15" hidden="false" customHeight="false" outlineLevel="0" collapsed="false">
      <c r="A51" s="7" t="s">
        <v>28</v>
      </c>
      <c r="B51" s="6" t="s">
        <v>378</v>
      </c>
      <c r="C51" s="8" t="n">
        <f aca="false">Quantities!$B$11/40*(1+'Rates &amp; Inputs'!$B$10)</f>
        <v>87.275455</v>
      </c>
      <c r="D51" s="6" t="s">
        <v>163</v>
      </c>
      <c r="E51" s="8" t="n">
        <f aca="false">'Rates &amp; Inputs'!$B$17</f>
        <v>26</v>
      </c>
      <c r="F51" s="7" t="s">
        <v>340</v>
      </c>
      <c r="G51" s="8" t="n">
        <f aca="false">C51*E51</f>
        <v>2269.16183</v>
      </c>
      <c r="H51" s="26"/>
    </row>
    <row r="52" customFormat="false" ht="15" hidden="false" customHeight="false" outlineLevel="0" collapsed="false">
      <c r="A52" s="7" t="s">
        <v>28</v>
      </c>
      <c r="B52" s="6" t="s">
        <v>379</v>
      </c>
      <c r="C52" s="8" t="n">
        <f aca="false">Quantities!$B$11/'Rates &amp; Inputs'!$B$69</f>
        <v>84.5282857142857</v>
      </c>
      <c r="D52" s="6" t="s">
        <v>336</v>
      </c>
      <c r="E52" s="8" t="n">
        <f aca="false">'Rates &amp; Inputs'!$B$40</f>
        <v>190</v>
      </c>
      <c r="F52" s="7" t="s">
        <v>306</v>
      </c>
      <c r="G52" s="8" t="n">
        <f aca="false">C52*E52</f>
        <v>16060.3742857143</v>
      </c>
      <c r="H52" s="26"/>
    </row>
    <row r="53" customFormat="false" ht="15" hidden="false" customHeight="false" outlineLevel="0" collapsed="false">
      <c r="A53" s="7" t="s">
        <v>28</v>
      </c>
      <c r="B53" s="6" t="s">
        <v>380</v>
      </c>
      <c r="C53" s="8" t="n">
        <f aca="false">Quantities!$B$11/'Rates &amp; Inputs'!$B$69/2</f>
        <v>42.2641428571429</v>
      </c>
      <c r="D53" s="6" t="s">
        <v>305</v>
      </c>
      <c r="E53" s="8" t="n">
        <f aca="false">'Rates &amp; Inputs'!$B$58</f>
        <v>180</v>
      </c>
      <c r="F53" s="7" t="s">
        <v>310</v>
      </c>
      <c r="G53" s="8" t="n">
        <f aca="false">C53*E53</f>
        <v>7607.54571428571</v>
      </c>
      <c r="H53" s="26"/>
    </row>
    <row r="54" customFormat="false" ht="15" hidden="false" customHeight="false" outlineLevel="0" collapsed="false">
      <c r="A54" s="7" t="s">
        <v>28</v>
      </c>
      <c r="B54" s="6" t="s">
        <v>381</v>
      </c>
      <c r="C54" s="8" t="n">
        <f aca="false">Quantities!$B$11</f>
        <v>2958.49</v>
      </c>
      <c r="D54" s="6" t="s">
        <v>232</v>
      </c>
      <c r="E54" s="8" t="n">
        <f aca="false">'Rates &amp; Inputs'!$B$36</f>
        <v>0.5</v>
      </c>
      <c r="F54" s="7" t="s">
        <v>340</v>
      </c>
      <c r="G54" s="8" t="n">
        <f aca="false">C54*E54</f>
        <v>1479.245</v>
      </c>
      <c r="H54" s="26"/>
    </row>
    <row r="55" customFormat="false" ht="15" hidden="false" customHeight="false" outlineLevel="0" collapsed="false">
      <c r="A55" s="29" t="s">
        <v>30</v>
      </c>
      <c r="B55" s="29" t="s">
        <v>382</v>
      </c>
      <c r="C55" s="30"/>
      <c r="D55" s="30"/>
      <c r="E55" s="30"/>
      <c r="F55" s="30"/>
      <c r="G55" s="30"/>
      <c r="H55" s="30"/>
    </row>
    <row r="56" customFormat="false" ht="15" hidden="false" customHeight="false" outlineLevel="0" collapsed="false">
      <c r="A56" s="7" t="s">
        <v>30</v>
      </c>
      <c r="B56" s="6" t="s">
        <v>383</v>
      </c>
      <c r="C56" s="8" t="n">
        <f aca="false">ROUNDUP(Quantities!$B$11*3*1.5*(1+'Rates &amp; Inputs'!$B$10)/25,0)</f>
        <v>629</v>
      </c>
      <c r="D56" s="6" t="s">
        <v>384</v>
      </c>
      <c r="E56" s="8" t="n">
        <f aca="false">'Rates &amp; Inputs'!$B$13</f>
        <v>165</v>
      </c>
      <c r="F56" s="7" t="s">
        <v>340</v>
      </c>
      <c r="G56" s="8" t="n">
        <f aca="false">C56*E56</f>
        <v>103785</v>
      </c>
      <c r="H56" s="26" t="s">
        <v>385</v>
      </c>
    </row>
    <row r="57" customFormat="false" ht="15" hidden="false" customHeight="false" outlineLevel="0" collapsed="false">
      <c r="A57" s="7" t="s">
        <v>30</v>
      </c>
      <c r="B57" s="6" t="s">
        <v>386</v>
      </c>
      <c r="C57" s="8" t="n">
        <f aca="false">Quantities!$B$11/'Rates &amp; Inputs'!$B$70</f>
        <v>77.855</v>
      </c>
      <c r="D57" s="6" t="s">
        <v>336</v>
      </c>
      <c r="E57" s="8" t="n">
        <f aca="false">'Rates &amp; Inputs'!$B$40</f>
        <v>190</v>
      </c>
      <c r="F57" s="7" t="s">
        <v>306</v>
      </c>
      <c r="G57" s="8" t="n">
        <f aca="false">C57*E57</f>
        <v>14792.45</v>
      </c>
      <c r="H57" s="26"/>
    </row>
    <row r="58" customFormat="false" ht="15" hidden="false" customHeight="false" outlineLevel="0" collapsed="false">
      <c r="A58" s="7" t="s">
        <v>30</v>
      </c>
      <c r="B58" s="6" t="s">
        <v>387</v>
      </c>
      <c r="C58" s="8" t="n">
        <f aca="false">Quantities!$B$11/'Rates &amp; Inputs'!$B$70/2</f>
        <v>38.9275</v>
      </c>
      <c r="D58" s="6" t="s">
        <v>336</v>
      </c>
      <c r="E58" s="8" t="n">
        <f aca="false">'Rates &amp; Inputs'!$B$43</f>
        <v>115</v>
      </c>
      <c r="F58" s="7" t="s">
        <v>306</v>
      </c>
      <c r="G58" s="8" t="n">
        <f aca="false">C58*E58</f>
        <v>4476.6625</v>
      </c>
      <c r="H58" s="26"/>
    </row>
    <row r="59" customFormat="false" ht="15" hidden="false" customHeight="false" outlineLevel="0" collapsed="false">
      <c r="A59" s="7" t="s">
        <v>30</v>
      </c>
      <c r="B59" s="6" t="s">
        <v>388</v>
      </c>
      <c r="C59" s="8" t="n">
        <f aca="false">Quantities!$B$11</f>
        <v>2958.49</v>
      </c>
      <c r="D59" s="6" t="s">
        <v>232</v>
      </c>
      <c r="E59" s="8" t="n">
        <f aca="false">'Rates &amp; Inputs'!$B$36</f>
        <v>0.5</v>
      </c>
      <c r="F59" s="7" t="s">
        <v>340</v>
      </c>
      <c r="G59" s="8" t="n">
        <f aca="false">C59*E59</f>
        <v>1479.245</v>
      </c>
      <c r="H59" s="26"/>
    </row>
    <row r="60" customFormat="false" ht="15" hidden="false" customHeight="false" outlineLevel="0" collapsed="false">
      <c r="A60" s="29" t="s">
        <v>32</v>
      </c>
      <c r="B60" s="29" t="s">
        <v>389</v>
      </c>
      <c r="C60" s="30"/>
      <c r="D60" s="30"/>
      <c r="E60" s="30"/>
      <c r="F60" s="30"/>
      <c r="G60" s="30"/>
      <c r="H60" s="30"/>
    </row>
    <row r="61" customFormat="false" ht="15" hidden="false" customHeight="false" outlineLevel="0" collapsed="false">
      <c r="A61" s="7" t="s">
        <v>32</v>
      </c>
      <c r="B61" s="6" t="s">
        <v>390</v>
      </c>
      <c r="C61" s="8" t="n">
        <f aca="false">Quantities!$B$23</f>
        <v>1570.95819</v>
      </c>
      <c r="D61" s="6" t="s">
        <v>339</v>
      </c>
      <c r="E61" s="8" t="n">
        <f aca="false">'Rates &amp; Inputs'!$B$20</f>
        <v>23</v>
      </c>
      <c r="F61" s="7" t="s">
        <v>340</v>
      </c>
      <c r="G61" s="8" t="n">
        <f aca="false">C61*E61</f>
        <v>36132.03837</v>
      </c>
      <c r="H61" s="26"/>
    </row>
    <row r="62" customFormat="false" ht="15" hidden="false" customHeight="false" outlineLevel="0" collapsed="false">
      <c r="A62" s="7" t="s">
        <v>32</v>
      </c>
      <c r="B62" s="6" t="s">
        <v>391</v>
      </c>
      <c r="C62" s="8" t="n">
        <f aca="false">Quantities!$B$24</f>
        <v>226.916183</v>
      </c>
      <c r="D62" s="6" t="s">
        <v>244</v>
      </c>
      <c r="E62" s="8" t="n">
        <f aca="false">'Rates &amp; Inputs'!$B$21</f>
        <v>75</v>
      </c>
      <c r="F62" s="7" t="s">
        <v>340</v>
      </c>
      <c r="G62" s="8" t="n">
        <f aca="false">C62*E62</f>
        <v>17018.713725</v>
      </c>
      <c r="H62" s="26"/>
    </row>
    <row r="63" customFormat="false" ht="15" hidden="false" customHeight="false" outlineLevel="0" collapsed="false">
      <c r="A63" s="7" t="s">
        <v>32</v>
      </c>
      <c r="B63" s="6" t="s">
        <v>392</v>
      </c>
      <c r="C63" s="8" t="n">
        <f aca="false">Quantities!$B$25</f>
        <v>349</v>
      </c>
      <c r="D63" s="6" t="s">
        <v>393</v>
      </c>
      <c r="E63" s="8" t="n">
        <f aca="false">'Rates &amp; Inputs'!$B$22</f>
        <v>95</v>
      </c>
      <c r="F63" s="7" t="s">
        <v>340</v>
      </c>
      <c r="G63" s="8" t="n">
        <f aca="false">C63*E63</f>
        <v>33155</v>
      </c>
      <c r="H63" s="26"/>
    </row>
    <row r="64" customFormat="false" ht="15" hidden="false" customHeight="false" outlineLevel="0" collapsed="false">
      <c r="A64" s="7" t="s">
        <v>32</v>
      </c>
      <c r="B64" s="6" t="s">
        <v>394</v>
      </c>
      <c r="C64" s="8" t="n">
        <f aca="false">Quantities!$B$26</f>
        <v>595</v>
      </c>
      <c r="D64" s="6" t="s">
        <v>227</v>
      </c>
      <c r="E64" s="8" t="n">
        <f aca="false">'Rates &amp; Inputs'!$B$23</f>
        <v>28</v>
      </c>
      <c r="F64" s="7" t="s">
        <v>340</v>
      </c>
      <c r="G64" s="8" t="n">
        <f aca="false">C64*E64</f>
        <v>16660</v>
      </c>
      <c r="H64" s="26"/>
    </row>
    <row r="65" customFormat="false" ht="15" hidden="false" customHeight="false" outlineLevel="0" collapsed="false">
      <c r="A65" s="7" t="s">
        <v>32</v>
      </c>
      <c r="B65" s="6" t="s">
        <v>395</v>
      </c>
      <c r="C65" s="8" t="n">
        <f aca="false">Quantities!$B$11/'Rates &amp; Inputs'!$B$71</f>
        <v>268.953636363636</v>
      </c>
      <c r="D65" s="6" t="s">
        <v>336</v>
      </c>
      <c r="E65" s="8" t="n">
        <f aca="false">'Rates &amp; Inputs'!$B$41</f>
        <v>180</v>
      </c>
      <c r="F65" s="7" t="s">
        <v>306</v>
      </c>
      <c r="G65" s="8" t="n">
        <f aca="false">C65*E65</f>
        <v>48411.6545454545</v>
      </c>
      <c r="H65" s="26" t="s">
        <v>396</v>
      </c>
    </row>
    <row r="66" customFormat="false" ht="15" hidden="false" customHeight="false" outlineLevel="0" collapsed="false">
      <c r="A66" s="7" t="s">
        <v>32</v>
      </c>
      <c r="B66" s="6" t="s">
        <v>397</v>
      </c>
      <c r="C66" s="8" t="n">
        <f aca="false">Quantities!$B$11/'Rates &amp; Inputs'!$B$71</f>
        <v>268.953636363636</v>
      </c>
      <c r="D66" s="6" t="s">
        <v>336</v>
      </c>
      <c r="E66" s="8" t="n">
        <f aca="false">'Rates &amp; Inputs'!$B$43</f>
        <v>115</v>
      </c>
      <c r="F66" s="7" t="s">
        <v>306</v>
      </c>
      <c r="G66" s="8" t="n">
        <f aca="false">C66*E66</f>
        <v>30929.6681818182</v>
      </c>
      <c r="H66" s="26"/>
    </row>
    <row r="67" customFormat="false" ht="15" hidden="false" customHeight="false" outlineLevel="0" collapsed="false">
      <c r="A67" s="7" t="s">
        <v>32</v>
      </c>
      <c r="B67" s="6" t="s">
        <v>398</v>
      </c>
      <c r="C67" s="8" t="n">
        <f aca="false">Quantities!$B$11</f>
        <v>2958.49</v>
      </c>
      <c r="D67" s="6" t="s">
        <v>232</v>
      </c>
      <c r="E67" s="8" t="n">
        <f aca="false">'Rates &amp; Inputs'!$B$36*2</f>
        <v>1</v>
      </c>
      <c r="F67" s="7" t="s">
        <v>340</v>
      </c>
      <c r="G67" s="8" t="n">
        <f aca="false">C67*E67</f>
        <v>2958.49</v>
      </c>
      <c r="H67" s="26"/>
    </row>
    <row r="68" customFormat="false" ht="15" hidden="false" customHeight="false" outlineLevel="0" collapsed="false">
      <c r="A68" s="29" t="s">
        <v>34</v>
      </c>
      <c r="B68" s="29" t="s">
        <v>399</v>
      </c>
      <c r="C68" s="30"/>
      <c r="D68" s="30"/>
      <c r="E68" s="30"/>
      <c r="F68" s="30"/>
      <c r="G68" s="30"/>
      <c r="H68" s="30"/>
    </row>
    <row r="69" customFormat="false" ht="15" hidden="false" customHeight="false" outlineLevel="0" collapsed="false">
      <c r="A69" s="7" t="s">
        <v>34</v>
      </c>
      <c r="B69" s="6" t="s">
        <v>400</v>
      </c>
      <c r="C69" s="8" t="n">
        <f aca="false">ROUNDUP(Quantities!$B$11*0.2*(1+'Rates &amp; Inputs'!$B$10)/14,0)</f>
        <v>50</v>
      </c>
      <c r="D69" s="6" t="s">
        <v>401</v>
      </c>
      <c r="E69" s="8" t="n">
        <f aca="false">'Rates &amp; Inputs'!$B$15</f>
        <v>520</v>
      </c>
      <c r="F69" s="7" t="s">
        <v>340</v>
      </c>
      <c r="G69" s="8" t="n">
        <f aca="false">C69*E69</f>
        <v>26000</v>
      </c>
      <c r="H69" s="26" t="s">
        <v>402</v>
      </c>
    </row>
    <row r="70" customFormat="false" ht="15" hidden="false" customHeight="false" outlineLevel="0" collapsed="false">
      <c r="A70" s="7" t="s">
        <v>34</v>
      </c>
      <c r="B70" s="6" t="s">
        <v>403</v>
      </c>
      <c r="C70" s="8" t="n">
        <f aca="false">ROUNDUP(Quantities!$B$11*3*0.7*(1+'Rates &amp; Inputs'!$B$10)/21,0)</f>
        <v>350</v>
      </c>
      <c r="D70" s="6" t="s">
        <v>401</v>
      </c>
      <c r="E70" s="8" t="n">
        <f aca="false">'Rates &amp; Inputs'!$B$14</f>
        <v>980</v>
      </c>
      <c r="F70" s="7" t="s">
        <v>340</v>
      </c>
      <c r="G70" s="8" t="n">
        <f aca="false">C70*E70</f>
        <v>343000</v>
      </c>
      <c r="H70" s="26" t="s">
        <v>404</v>
      </c>
    </row>
    <row r="71" customFormat="false" ht="15" hidden="false" customHeight="false" outlineLevel="0" collapsed="false">
      <c r="A71" s="7" t="s">
        <v>34</v>
      </c>
      <c r="B71" s="6" t="s">
        <v>405</v>
      </c>
      <c r="C71" s="8" t="n">
        <f aca="false">ROUNDUP((Quantities!$C$11/0.4*2*0.3+Quantities!$C$39*0.5)*(1+'Rates &amp; Inputs'!$B$10)/50,0)</f>
        <v>14</v>
      </c>
      <c r="D71" s="6" t="s">
        <v>406</v>
      </c>
      <c r="E71" s="8" t="n">
        <f aca="false">'Rates &amp; Inputs'!$B$16</f>
        <v>480</v>
      </c>
      <c r="F71" s="7" t="s">
        <v>340</v>
      </c>
      <c r="G71" s="8" t="n">
        <f aca="false">C71*E71</f>
        <v>6720</v>
      </c>
      <c r="H71" s="26" t="s">
        <v>407</v>
      </c>
    </row>
    <row r="72" customFormat="false" ht="15" hidden="false" customHeight="false" outlineLevel="0" collapsed="false">
      <c r="A72" s="7" t="s">
        <v>34</v>
      </c>
      <c r="B72" s="6" t="s">
        <v>408</v>
      </c>
      <c r="C72" s="8" t="n">
        <f aca="false">ROUNDUP(Quantities!$B$11/150,0)</f>
        <v>20</v>
      </c>
      <c r="D72" s="6" t="s">
        <v>409</v>
      </c>
      <c r="E72" s="8" t="n">
        <f aca="false">'Rates &amp; Inputs'!$B$19</f>
        <v>65</v>
      </c>
      <c r="F72" s="7" t="s">
        <v>340</v>
      </c>
      <c r="G72" s="8" t="n">
        <f aca="false">C72*E72</f>
        <v>1300</v>
      </c>
      <c r="H72" s="26"/>
    </row>
    <row r="73" customFormat="false" ht="15" hidden="false" customHeight="false" outlineLevel="0" collapsed="false">
      <c r="A73" s="7" t="s">
        <v>34</v>
      </c>
      <c r="B73" s="6" t="s">
        <v>386</v>
      </c>
      <c r="C73" s="8" t="n">
        <f aca="false">Quantities!$B$11/'Rates &amp; Inputs'!$B$72</f>
        <v>92.4528125</v>
      </c>
      <c r="D73" s="6" t="s">
        <v>336</v>
      </c>
      <c r="E73" s="8" t="n">
        <f aca="false">'Rates &amp; Inputs'!$B$40</f>
        <v>190</v>
      </c>
      <c r="F73" s="7" t="s">
        <v>306</v>
      </c>
      <c r="G73" s="8" t="n">
        <f aca="false">C73*E73</f>
        <v>17566.034375</v>
      </c>
      <c r="H73" s="26"/>
    </row>
    <row r="74" customFormat="false" ht="15" hidden="false" customHeight="false" outlineLevel="0" collapsed="false">
      <c r="A74" s="7" t="s">
        <v>34</v>
      </c>
      <c r="B74" s="6" t="s">
        <v>410</v>
      </c>
      <c r="C74" s="8" t="n">
        <f aca="false">Quantities!$B$11/'Rates &amp; Inputs'!$B$72/2</f>
        <v>46.22640625</v>
      </c>
      <c r="D74" s="6" t="s">
        <v>336</v>
      </c>
      <c r="E74" s="8" t="n">
        <f aca="false">'Rates &amp; Inputs'!$B$43</f>
        <v>115</v>
      </c>
      <c r="F74" s="7" t="s">
        <v>306</v>
      </c>
      <c r="G74" s="8" t="n">
        <f aca="false">C74*E74</f>
        <v>5316.03671875</v>
      </c>
      <c r="H74" s="26"/>
    </row>
    <row r="75" customFormat="false" ht="15" hidden="false" customHeight="false" outlineLevel="0" collapsed="false">
      <c r="A75" s="29" t="s">
        <v>36</v>
      </c>
      <c r="B75" s="29" t="s">
        <v>411</v>
      </c>
      <c r="C75" s="30"/>
      <c r="D75" s="30"/>
      <c r="E75" s="30"/>
      <c r="F75" s="30"/>
      <c r="G75" s="30"/>
      <c r="H75" s="30"/>
    </row>
    <row r="76" customFormat="false" ht="15" hidden="false" customHeight="false" outlineLevel="0" collapsed="false">
      <c r="A76" s="7" t="s">
        <v>36</v>
      </c>
      <c r="B76" s="6" t="s">
        <v>412</v>
      </c>
      <c r="C76" s="8" t="n">
        <f aca="false">ROUNDUP(Quantities!$B$29*3*1.5*(1+'Rates &amp; Inputs'!$B$10)/25,0)</f>
        <v>60</v>
      </c>
      <c r="D76" s="6" t="s">
        <v>384</v>
      </c>
      <c r="E76" s="8" t="n">
        <f aca="false">'Rates &amp; Inputs'!$B$13</f>
        <v>165</v>
      </c>
      <c r="F76" s="7" t="s">
        <v>340</v>
      </c>
      <c r="G76" s="8" t="n">
        <f aca="false">C76*E76</f>
        <v>9900</v>
      </c>
      <c r="H76" s="26"/>
    </row>
    <row r="77" customFormat="false" ht="15" hidden="false" customHeight="false" outlineLevel="0" collapsed="false">
      <c r="A77" s="7" t="s">
        <v>36</v>
      </c>
      <c r="B77" s="6" t="s">
        <v>413</v>
      </c>
      <c r="C77" s="8" t="n">
        <f aca="false">ROUNDUP(Quantities!$B$29*(0.2+2.1)*(1+'Rates &amp; Inputs'!$B$10)/21,0)</f>
        <v>37</v>
      </c>
      <c r="D77" s="6" t="s">
        <v>401</v>
      </c>
      <c r="E77" s="8" t="n">
        <f aca="false">'Rates &amp; Inputs'!$B$14</f>
        <v>980</v>
      </c>
      <c r="F77" s="7" t="s">
        <v>340</v>
      </c>
      <c r="G77" s="8" t="n">
        <f aca="false">C77*E77</f>
        <v>36260</v>
      </c>
      <c r="H77" s="26"/>
    </row>
    <row r="78" customFormat="false" ht="15" hidden="false" customHeight="false" outlineLevel="0" collapsed="false">
      <c r="A78" s="7" t="s">
        <v>36</v>
      </c>
      <c r="B78" s="6" t="s">
        <v>414</v>
      </c>
      <c r="C78" s="8" t="n">
        <f aca="false">ROUNDUP(Quantities!$B$29*(1+'Rates &amp; Inputs'!$B$10)/50,0)</f>
        <v>7</v>
      </c>
      <c r="D78" s="6" t="s">
        <v>406</v>
      </c>
      <c r="E78" s="8" t="n">
        <f aca="false">'Rates &amp; Inputs'!$B$16</f>
        <v>480</v>
      </c>
      <c r="F78" s="7" t="s">
        <v>340</v>
      </c>
      <c r="G78" s="8" t="n">
        <f aca="false">C78*E78</f>
        <v>3360</v>
      </c>
      <c r="H78" s="26"/>
    </row>
    <row r="79" customFormat="false" ht="15" hidden="false" customHeight="false" outlineLevel="0" collapsed="false">
      <c r="A79" s="7" t="s">
        <v>36</v>
      </c>
      <c r="B79" s="6" t="s">
        <v>415</v>
      </c>
      <c r="C79" s="8" t="n">
        <f aca="false">Quantities!$B$27</f>
        <v>930</v>
      </c>
      <c r="D79" s="6" t="s">
        <v>227</v>
      </c>
      <c r="E79" s="8" t="n">
        <f aca="false">6</f>
        <v>6</v>
      </c>
      <c r="F79" s="7" t="s">
        <v>340</v>
      </c>
      <c r="G79" s="8" t="n">
        <f aca="false">C79*E79</f>
        <v>5580</v>
      </c>
      <c r="H79" s="26" t="s">
        <v>416</v>
      </c>
    </row>
    <row r="80" customFormat="false" ht="15" hidden="false" customHeight="false" outlineLevel="0" collapsed="false">
      <c r="A80" s="7" t="s">
        <v>36</v>
      </c>
      <c r="B80" s="6" t="s">
        <v>386</v>
      </c>
      <c r="C80" s="8" t="n">
        <f aca="false">Quantities!$B$29/'Rates &amp; Inputs'!$B$73</f>
        <v>31</v>
      </c>
      <c r="D80" s="6" t="s">
        <v>336</v>
      </c>
      <c r="E80" s="8" t="n">
        <f aca="false">'Rates &amp; Inputs'!$B$40</f>
        <v>190</v>
      </c>
      <c r="F80" s="7" t="s">
        <v>306</v>
      </c>
      <c r="G80" s="8" t="n">
        <f aca="false">C80*E80</f>
        <v>5890</v>
      </c>
      <c r="H80" s="26"/>
    </row>
    <row r="81" customFormat="false" ht="15" hidden="false" customHeight="false" outlineLevel="0" collapsed="false">
      <c r="A81" s="29" t="s">
        <v>38</v>
      </c>
      <c r="B81" s="29" t="s">
        <v>417</v>
      </c>
      <c r="C81" s="30"/>
      <c r="D81" s="30"/>
      <c r="E81" s="30"/>
      <c r="F81" s="30"/>
      <c r="G81" s="30"/>
      <c r="H81" s="30"/>
    </row>
    <row r="82" customFormat="false" ht="15" hidden="false" customHeight="false" outlineLevel="0" collapsed="false">
      <c r="A82" s="7" t="s">
        <v>38</v>
      </c>
      <c r="B82" s="6" t="s">
        <v>418</v>
      </c>
      <c r="C82" s="8" t="n">
        <f aca="false">Quantities!$B$17/'Rates &amp; Inputs'!$B$74</f>
        <v>42.2437305130867</v>
      </c>
      <c r="D82" s="6" t="s">
        <v>336</v>
      </c>
      <c r="E82" s="8" t="n">
        <f aca="false">'Rates &amp; Inputs'!$B$43</f>
        <v>115</v>
      </c>
      <c r="F82" s="7" t="s">
        <v>306</v>
      </c>
      <c r="G82" s="8" t="n">
        <f aca="false">C82*E82</f>
        <v>4858.02900900497</v>
      </c>
      <c r="H82" s="26"/>
    </row>
    <row r="83" customFormat="false" ht="15" hidden="false" customHeight="false" outlineLevel="0" collapsed="false">
      <c r="A83" s="7" t="s">
        <v>38</v>
      </c>
      <c r="B83" s="6" t="s">
        <v>172</v>
      </c>
      <c r="C83" s="8" t="n">
        <f aca="false">Quantities!$B$17/'Rates &amp; Inputs'!$B$74/2</f>
        <v>21.1218652565433</v>
      </c>
      <c r="D83" s="6" t="s">
        <v>305</v>
      </c>
      <c r="E83" s="8" t="n">
        <f aca="false">'Rates &amp; Inputs'!$B$58</f>
        <v>180</v>
      </c>
      <c r="F83" s="7" t="s">
        <v>310</v>
      </c>
      <c r="G83" s="8" t="n">
        <f aca="false">C83*E83</f>
        <v>3801.9357461778</v>
      </c>
      <c r="H83" s="26"/>
    </row>
    <row r="84" customFormat="false" ht="15" hidden="false" customHeight="false" outlineLevel="0" collapsed="false">
      <c r="A84" s="7" t="s">
        <v>38</v>
      </c>
      <c r="B84" s="6" t="s">
        <v>419</v>
      </c>
      <c r="C84" s="8" t="s">
        <v>420</v>
      </c>
      <c r="D84" s="6" t="s">
        <v>323</v>
      </c>
      <c r="E84" s="8" t="n">
        <f aca="false">'Rates &amp; Inputs'!$B$55</f>
        <v>480</v>
      </c>
      <c r="F84" s="7" t="s">
        <v>310</v>
      </c>
      <c r="G84" s="8" t="n">
        <f aca="false">C84*E84</f>
        <v>1440</v>
      </c>
      <c r="H84" s="26"/>
    </row>
    <row r="85" customFormat="false" ht="15" hidden="false" customHeight="false" outlineLevel="0" collapsed="false">
      <c r="A85" s="7" t="s">
        <v>38</v>
      </c>
      <c r="B85" s="6" t="s">
        <v>421</v>
      </c>
      <c r="C85" s="8" t="n">
        <f aca="false">Quantities!$B$17*0.06*(1+'Rates &amp; Inputs'!$B$10)</f>
        <v>65.7988346471838</v>
      </c>
      <c r="D85" s="6" t="s">
        <v>339</v>
      </c>
      <c r="E85" s="8" t="n">
        <f aca="false">'Rates &amp; Inputs'!$B$18</f>
        <v>125</v>
      </c>
      <c r="F85" s="7" t="s">
        <v>340</v>
      </c>
      <c r="G85" s="8" t="n">
        <f aca="false">C85*E85</f>
        <v>8224.85433089798</v>
      </c>
      <c r="H85" s="26"/>
    </row>
    <row r="86" customFormat="false" ht="15" hidden="false" customHeight="false" outlineLevel="0" collapsed="false">
      <c r="A86" s="7" t="s">
        <v>38</v>
      </c>
      <c r="B86" s="6" t="s">
        <v>400</v>
      </c>
      <c r="C86" s="8" t="n">
        <f aca="false">ROUNDUP(Quantities!$B$17*0.2*(1+'Rates &amp; Inputs'!$B$10)/14,0)</f>
        <v>16</v>
      </c>
      <c r="D86" s="6" t="s">
        <v>401</v>
      </c>
      <c r="E86" s="8" t="n">
        <f aca="false">'Rates &amp; Inputs'!$B$15</f>
        <v>520</v>
      </c>
      <c r="F86" s="7" t="s">
        <v>340</v>
      </c>
      <c r="G86" s="8" t="n">
        <f aca="false">C86*E86</f>
        <v>8320</v>
      </c>
      <c r="H86" s="26"/>
    </row>
    <row r="87" customFormat="false" ht="15" hidden="false" customHeight="false" outlineLevel="0" collapsed="false">
      <c r="A87" s="7" t="s">
        <v>38</v>
      </c>
      <c r="B87" s="6" t="s">
        <v>422</v>
      </c>
      <c r="C87" s="8" t="n">
        <f aca="false">ROUNDUP(Quantities!$B$17*3*0.7*(1+'Rates &amp; Inputs'!$B$10)/21,0)</f>
        <v>110</v>
      </c>
      <c r="D87" s="6" t="s">
        <v>401</v>
      </c>
      <c r="E87" s="8" t="n">
        <f aca="false">'Rates &amp; Inputs'!$B$14</f>
        <v>980</v>
      </c>
      <c r="F87" s="7" t="s">
        <v>340</v>
      </c>
      <c r="G87" s="8" t="n">
        <f aca="false">C87*E87</f>
        <v>107800</v>
      </c>
      <c r="H87" s="26"/>
    </row>
    <row r="88" customFormat="false" ht="15" hidden="false" customHeight="false" outlineLevel="0" collapsed="false">
      <c r="A88" s="7" t="s">
        <v>38</v>
      </c>
      <c r="B88" s="6" t="s">
        <v>423</v>
      </c>
      <c r="C88" s="8" t="n">
        <f aca="false">ROUNDUP((2*Quantities!$B$15*0.3+48*0.5)*(1+'Rates &amp; Inputs'!$B$10)/50,0)</f>
        <v>5</v>
      </c>
      <c r="D88" s="6" t="s">
        <v>406</v>
      </c>
      <c r="E88" s="8" t="n">
        <f aca="false">'Rates &amp; Inputs'!$B$16</f>
        <v>480</v>
      </c>
      <c r="F88" s="7" t="s">
        <v>340</v>
      </c>
      <c r="G88" s="8" t="n">
        <f aca="false">C88*E88</f>
        <v>2400</v>
      </c>
      <c r="H88" s="26"/>
    </row>
    <row r="89" customFormat="false" ht="15" hidden="false" customHeight="false" outlineLevel="0" collapsed="false">
      <c r="A89" s="7" t="s">
        <v>38</v>
      </c>
      <c r="B89" s="6" t="s">
        <v>424</v>
      </c>
      <c r="C89" s="8" t="n">
        <f aca="false">Quantities!$B$17/'Rates &amp; Inputs'!$B$75</f>
        <v>33.1915025459967</v>
      </c>
      <c r="D89" s="6" t="s">
        <v>336</v>
      </c>
      <c r="E89" s="8" t="n">
        <f aca="false">'Rates &amp; Inputs'!$B$40</f>
        <v>190</v>
      </c>
      <c r="F89" s="7" t="s">
        <v>306</v>
      </c>
      <c r="G89" s="8" t="n">
        <f aca="false">C89*E89</f>
        <v>6306.38548373937</v>
      </c>
      <c r="H89" s="26"/>
    </row>
    <row r="90" customFormat="false" ht="15" hidden="false" customHeight="false" outlineLevel="0" collapsed="false">
      <c r="A90" s="7" t="s">
        <v>38</v>
      </c>
      <c r="B90" s="6" t="s">
        <v>148</v>
      </c>
      <c r="C90" s="8" t="n">
        <f aca="false">Quantities!$B$17/'Rates &amp; Inputs'!$B$75/2</f>
        <v>16.5957512729983</v>
      </c>
      <c r="D90" s="6" t="s">
        <v>336</v>
      </c>
      <c r="E90" s="8" t="n">
        <f aca="false">'Rates &amp; Inputs'!$B$43</f>
        <v>115</v>
      </c>
      <c r="F90" s="7" t="s">
        <v>306</v>
      </c>
      <c r="G90" s="8" t="n">
        <f aca="false">C90*E90</f>
        <v>1908.51139639481</v>
      </c>
      <c r="H90" s="26"/>
    </row>
    <row r="91" customFormat="false" ht="15" hidden="false" customHeight="false" outlineLevel="0" collapsed="false">
      <c r="A91" s="29" t="s">
        <v>40</v>
      </c>
      <c r="B91" s="29" t="s">
        <v>425</v>
      </c>
      <c r="C91" s="30"/>
      <c r="D91" s="30"/>
      <c r="E91" s="30"/>
      <c r="F91" s="30"/>
      <c r="G91" s="30"/>
      <c r="H91" s="30"/>
    </row>
    <row r="92" customFormat="false" ht="15" hidden="false" customHeight="false" outlineLevel="0" collapsed="false">
      <c r="A92" s="7" t="s">
        <v>40</v>
      </c>
      <c r="B92" s="6" t="s">
        <v>426</v>
      </c>
      <c r="C92" s="8" t="n">
        <f aca="false">ROUNDUP(Quantities!$B$30/8*(1+'Rates &amp; Inputs'!$B$10),0)</f>
        <v>192</v>
      </c>
      <c r="D92" s="6" t="s">
        <v>163</v>
      </c>
      <c r="E92" s="8" t="n">
        <f aca="false">'Rates &amp; Inputs'!$B$30</f>
        <v>22</v>
      </c>
      <c r="F92" s="7" t="s">
        <v>340</v>
      </c>
      <c r="G92" s="8" t="n">
        <f aca="false">C92*E92</f>
        <v>4224</v>
      </c>
      <c r="H92" s="26" t="s">
        <v>427</v>
      </c>
    </row>
    <row r="93" customFormat="false" ht="15" hidden="false" customHeight="false" outlineLevel="0" collapsed="false">
      <c r="A93" s="7" t="s">
        <v>40</v>
      </c>
      <c r="B93" s="6" t="s">
        <v>428</v>
      </c>
      <c r="C93" s="8" t="n">
        <f aca="false">Quantities!$B$30</f>
        <v>1300</v>
      </c>
      <c r="D93" s="6" t="s">
        <v>227</v>
      </c>
      <c r="E93" s="8" t="n">
        <f aca="false">1.2</f>
        <v>1.2</v>
      </c>
      <c r="F93" s="7" t="s">
        <v>340</v>
      </c>
      <c r="G93" s="8" t="n">
        <f aca="false">C93*E93</f>
        <v>1560</v>
      </c>
      <c r="H93" s="26"/>
    </row>
    <row r="94" customFormat="false" ht="15" hidden="false" customHeight="false" outlineLevel="0" collapsed="false">
      <c r="A94" s="7" t="s">
        <v>40</v>
      </c>
      <c r="B94" s="6" t="s">
        <v>429</v>
      </c>
      <c r="C94" s="8" t="n">
        <f aca="false">Quantities!$B$30/'Rates &amp; Inputs'!$B$78</f>
        <v>37.1428571428571</v>
      </c>
      <c r="D94" s="6" t="s">
        <v>336</v>
      </c>
      <c r="E94" s="8" t="n">
        <f aca="false">'Rates &amp; Inputs'!$B$40</f>
        <v>190</v>
      </c>
      <c r="F94" s="7" t="s">
        <v>306</v>
      </c>
      <c r="G94" s="8" t="n">
        <f aca="false">C94*E94</f>
        <v>7057.14285714286</v>
      </c>
      <c r="H94" s="26"/>
    </row>
    <row r="95" customFormat="false" ht="15" hidden="false" customHeight="false" outlineLevel="0" collapsed="false">
      <c r="A95" s="29" t="s">
        <v>44</v>
      </c>
      <c r="B95" s="29" t="s">
        <v>430</v>
      </c>
      <c r="C95" s="30"/>
      <c r="D95" s="30"/>
      <c r="E95" s="30"/>
      <c r="F95" s="30"/>
      <c r="G95" s="30"/>
      <c r="H95" s="30"/>
    </row>
    <row r="96" customFormat="false" ht="15" hidden="false" customHeight="false" outlineLevel="0" collapsed="false">
      <c r="A96" s="7" t="s">
        <v>44</v>
      </c>
      <c r="B96" s="6" t="s">
        <v>431</v>
      </c>
      <c r="C96" s="8" t="n">
        <f aca="false">1/'Rates &amp; Inputs'!$B$79</f>
        <v>0.04</v>
      </c>
      <c r="D96" s="6" t="s">
        <v>336</v>
      </c>
      <c r="E96" s="8" t="n">
        <f aca="false">'Rates &amp; Inputs'!$B$43</f>
        <v>115</v>
      </c>
      <c r="F96" s="7" t="s">
        <v>306</v>
      </c>
      <c r="G96" s="8" t="n">
        <f aca="false">C96*E96</f>
        <v>4.6</v>
      </c>
      <c r="H96" s="26" t="s">
        <v>432</v>
      </c>
    </row>
    <row r="97" customFormat="false" ht="15" hidden="false" customHeight="false" outlineLevel="0" collapsed="false">
      <c r="A97" s="7" t="s">
        <v>44</v>
      </c>
      <c r="B97" s="6" t="s">
        <v>433</v>
      </c>
      <c r="C97" s="8" t="s">
        <v>313</v>
      </c>
      <c r="D97" s="6" t="s">
        <v>232</v>
      </c>
      <c r="E97" s="8" t="n">
        <f aca="false">1.5</f>
        <v>1.5</v>
      </c>
      <c r="F97" s="7" t="s">
        <v>310</v>
      </c>
      <c r="G97" s="8" t="n">
        <f aca="false">C97*E97</f>
        <v>1.5</v>
      </c>
      <c r="H97" s="26" t="s">
        <v>432</v>
      </c>
    </row>
    <row r="98" customFormat="false" ht="15" hidden="false" customHeight="false" outlineLevel="0" collapsed="false">
      <c r="A98" s="29" t="s">
        <v>47</v>
      </c>
      <c r="B98" s="29" t="s">
        <v>434</v>
      </c>
      <c r="C98" s="30"/>
      <c r="D98" s="30"/>
      <c r="E98" s="30"/>
      <c r="F98" s="30"/>
      <c r="G98" s="30"/>
      <c r="H98" s="30"/>
    </row>
    <row r="99" customFormat="false" ht="15" hidden="false" customHeight="false" outlineLevel="0" collapsed="false">
      <c r="A99" s="7" t="s">
        <v>47</v>
      </c>
      <c r="B99" s="6" t="s">
        <v>435</v>
      </c>
      <c r="C99" s="8" t="s">
        <v>313</v>
      </c>
      <c r="D99" s="6" t="s">
        <v>232</v>
      </c>
      <c r="E99" s="8" t="n">
        <f aca="false">'Rates &amp; Inputs'!$B$33*(1+'Rates &amp; Inputs'!$B$10)</f>
        <v>16.52</v>
      </c>
      <c r="F99" s="7" t="s">
        <v>340</v>
      </c>
      <c r="G99" s="8" t="n">
        <f aca="false">C99*E99</f>
        <v>16.52</v>
      </c>
      <c r="H99" s="26" t="s">
        <v>432</v>
      </c>
    </row>
    <row r="100" customFormat="false" ht="15" hidden="false" customHeight="false" outlineLevel="0" collapsed="false">
      <c r="A100" s="7" t="s">
        <v>47</v>
      </c>
      <c r="B100" s="6" t="s">
        <v>436</v>
      </c>
      <c r="C100" s="8" t="n">
        <f aca="false">1/'Rates &amp; Inputs'!$B$80</f>
        <v>0.0833333333333333</v>
      </c>
      <c r="D100" s="6" t="s">
        <v>336</v>
      </c>
      <c r="E100" s="8" t="n">
        <f aca="false">'Rates &amp; Inputs'!$B$40</f>
        <v>190</v>
      </c>
      <c r="F100" s="7" t="s">
        <v>306</v>
      </c>
      <c r="G100" s="8" t="n">
        <f aca="false">C100*E100</f>
        <v>15.8333333333333</v>
      </c>
      <c r="H100" s="26" t="s">
        <v>432</v>
      </c>
    </row>
    <row r="101" customFormat="false" ht="15" hidden="false" customHeight="false" outlineLevel="0" collapsed="false">
      <c r="A101" s="29" t="s">
        <v>49</v>
      </c>
      <c r="B101" s="29" t="s">
        <v>437</v>
      </c>
      <c r="C101" s="30"/>
      <c r="D101" s="30"/>
      <c r="E101" s="30"/>
      <c r="F101" s="30"/>
      <c r="G101" s="30"/>
      <c r="H101" s="30"/>
    </row>
    <row r="102" customFormat="false" ht="15" hidden="false" customHeight="false" outlineLevel="0" collapsed="false">
      <c r="A102" s="7" t="s">
        <v>49</v>
      </c>
      <c r="B102" s="6" t="s">
        <v>438</v>
      </c>
      <c r="C102" s="8" t="s">
        <v>313</v>
      </c>
      <c r="D102" s="6" t="s">
        <v>244</v>
      </c>
      <c r="E102" s="8" t="n">
        <f aca="false">'Rates &amp; Inputs'!$B$34*(1+'Rates &amp; Inputs'!$B$10)</f>
        <v>3776</v>
      </c>
      <c r="F102" s="7" t="s">
        <v>340</v>
      </c>
      <c r="G102" s="8" t="n">
        <f aca="false">C102*E102</f>
        <v>3776</v>
      </c>
      <c r="H102" s="26" t="s">
        <v>439</v>
      </c>
    </row>
    <row r="103" customFormat="false" ht="15" hidden="false" customHeight="false" outlineLevel="0" collapsed="false">
      <c r="A103" s="7" t="s">
        <v>49</v>
      </c>
      <c r="B103" s="6" t="s">
        <v>440</v>
      </c>
      <c r="C103" s="8" t="s">
        <v>441</v>
      </c>
      <c r="D103" s="6" t="s">
        <v>336</v>
      </c>
      <c r="E103" s="8" t="n">
        <f aca="false">'Rates &amp; Inputs'!$B$40</f>
        <v>190</v>
      </c>
      <c r="F103" s="7" t="s">
        <v>306</v>
      </c>
      <c r="G103" s="8" t="n">
        <f aca="false">C103*E103</f>
        <v>1140</v>
      </c>
      <c r="H103" s="26" t="s">
        <v>439</v>
      </c>
    </row>
    <row r="104" customFormat="false" ht="15" hidden="false" customHeight="false" outlineLevel="0" collapsed="false">
      <c r="A104" s="29" t="s">
        <v>52</v>
      </c>
      <c r="B104" s="29" t="s">
        <v>442</v>
      </c>
      <c r="C104" s="30"/>
      <c r="D104" s="30"/>
      <c r="E104" s="30"/>
      <c r="F104" s="30"/>
      <c r="G104" s="30"/>
      <c r="H104" s="30"/>
    </row>
    <row r="105" customFormat="false" ht="15" hidden="false" customHeight="false" outlineLevel="0" collapsed="false">
      <c r="A105" s="7" t="s">
        <v>52</v>
      </c>
      <c r="B105" s="6" t="s">
        <v>443</v>
      </c>
      <c r="C105" s="8" t="s">
        <v>313</v>
      </c>
      <c r="D105" s="6" t="s">
        <v>232</v>
      </c>
      <c r="E105" s="8" t="n">
        <f aca="false">'Rates &amp; Inputs'!$B$35*(1+'Rates &amp; Inputs'!$B$10)</f>
        <v>5.31</v>
      </c>
      <c r="F105" s="7" t="s">
        <v>340</v>
      </c>
      <c r="G105" s="8" t="n">
        <f aca="false">C105*E105</f>
        <v>5.31</v>
      </c>
      <c r="H105" s="26" t="s">
        <v>432</v>
      </c>
    </row>
    <row r="106" customFormat="false" ht="15" hidden="false" customHeight="false" outlineLevel="0" collapsed="false">
      <c r="A106" s="7" t="s">
        <v>52</v>
      </c>
      <c r="B106" s="6" t="s">
        <v>444</v>
      </c>
      <c r="C106" s="8" t="n">
        <f aca="false">1/'Rates &amp; Inputs'!$B$81</f>
        <v>0.025</v>
      </c>
      <c r="D106" s="6" t="s">
        <v>336</v>
      </c>
      <c r="E106" s="8" t="n">
        <f aca="false">'Rates &amp; Inputs'!$B$40</f>
        <v>190</v>
      </c>
      <c r="F106" s="7" t="s">
        <v>306</v>
      </c>
      <c r="G106" s="8" t="n">
        <f aca="false">C106*E106</f>
        <v>4.75</v>
      </c>
      <c r="H106" s="26" t="s">
        <v>432</v>
      </c>
    </row>
    <row r="107" customFormat="false" ht="15" hidden="false" customHeight="false" outlineLevel="0" collapsed="false">
      <c r="A107" s="29" t="s">
        <v>54</v>
      </c>
      <c r="B107" s="29" t="s">
        <v>445</v>
      </c>
      <c r="C107" s="30"/>
      <c r="D107" s="30"/>
      <c r="E107" s="30"/>
      <c r="F107" s="30"/>
      <c r="G107" s="30"/>
      <c r="H107" s="30"/>
    </row>
    <row r="108" customFormat="false" ht="15" hidden="false" customHeight="false" outlineLevel="0" collapsed="false">
      <c r="A108" s="7" t="s">
        <v>54</v>
      </c>
      <c r="B108" s="6" t="s">
        <v>446</v>
      </c>
      <c r="C108" s="8" t="s">
        <v>313</v>
      </c>
      <c r="D108" s="6" t="s">
        <v>232</v>
      </c>
      <c r="E108" s="8" t="n">
        <f aca="false">'Rates &amp; Inputs'!$B$31*(1+'Rates &amp; Inputs'!$B$10)</f>
        <v>112.1</v>
      </c>
      <c r="F108" s="7" t="s">
        <v>340</v>
      </c>
      <c r="G108" s="8" t="n">
        <f aca="false">C108*E108</f>
        <v>112.1</v>
      </c>
      <c r="H108" s="26" t="s">
        <v>432</v>
      </c>
    </row>
    <row r="109" customFormat="false" ht="15" hidden="false" customHeight="false" outlineLevel="0" collapsed="false">
      <c r="A109" s="7" t="s">
        <v>54</v>
      </c>
      <c r="B109" s="6" t="s">
        <v>447</v>
      </c>
      <c r="C109" s="8" t="n">
        <f aca="false">1/'Rates &amp; Inputs'!$B$82</f>
        <v>0.25</v>
      </c>
      <c r="D109" s="6" t="s">
        <v>336</v>
      </c>
      <c r="E109" s="8" t="n">
        <f aca="false">'Rates &amp; Inputs'!$B$40</f>
        <v>190</v>
      </c>
      <c r="F109" s="7" t="s">
        <v>306</v>
      </c>
      <c r="G109" s="8" t="n">
        <f aca="false">C109*E109</f>
        <v>47.5</v>
      </c>
      <c r="H109" s="26" t="s">
        <v>432</v>
      </c>
    </row>
    <row r="110" customFormat="false" ht="15" hidden="false" customHeight="false" outlineLevel="0" collapsed="false">
      <c r="A110" s="29" t="s">
        <v>56</v>
      </c>
      <c r="B110" s="29" t="s">
        <v>448</v>
      </c>
      <c r="C110" s="30"/>
      <c r="D110" s="30"/>
      <c r="E110" s="30"/>
      <c r="F110" s="30"/>
      <c r="G110" s="30"/>
      <c r="H110" s="30"/>
    </row>
    <row r="111" customFormat="false" ht="15" hidden="false" customHeight="false" outlineLevel="0" collapsed="false">
      <c r="A111" s="7" t="s">
        <v>56</v>
      </c>
      <c r="B111" s="6" t="s">
        <v>449</v>
      </c>
      <c r="C111" s="8" t="s">
        <v>313</v>
      </c>
      <c r="D111" s="6" t="s">
        <v>331</v>
      </c>
      <c r="E111" s="8" t="n">
        <f aca="false">'Rates &amp; Inputs'!$B$32</f>
        <v>32</v>
      </c>
      <c r="F111" s="7" t="s">
        <v>340</v>
      </c>
      <c r="G111" s="8" t="n">
        <f aca="false">C111*E111</f>
        <v>32</v>
      </c>
      <c r="H111" s="26" t="s">
        <v>450</v>
      </c>
    </row>
    <row r="112" customFormat="false" ht="15" hidden="false" customHeight="false" outlineLevel="0" collapsed="false">
      <c r="A112" s="7" t="s">
        <v>56</v>
      </c>
      <c r="B112" s="6" t="s">
        <v>447</v>
      </c>
      <c r="C112" s="8" t="n">
        <f aca="false">1/'Rates &amp; Inputs'!$B$83</f>
        <v>0.1</v>
      </c>
      <c r="D112" s="6" t="s">
        <v>336</v>
      </c>
      <c r="E112" s="8" t="n">
        <f aca="false">'Rates &amp; Inputs'!$B$40</f>
        <v>190</v>
      </c>
      <c r="F112" s="7" t="s">
        <v>306</v>
      </c>
      <c r="G112" s="8" t="n">
        <f aca="false">C112*E112</f>
        <v>19</v>
      </c>
      <c r="H112" s="26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10" min="10" style="0" width="24"/>
  </cols>
  <sheetData>
    <row r="1" customFormat="false" ht="15" hidden="false" customHeight="false" outlineLevel="0" collapsed="false">
      <c r="A1" s="22" t="s">
        <v>0</v>
      </c>
    </row>
    <row r="2" customFormat="false" ht="16.15" hidden="false" customHeight="false" outlineLevel="0" collapsed="false">
      <c r="A2" s="23" t="s">
        <v>451</v>
      </c>
    </row>
    <row r="3" customFormat="false" ht="15" hidden="false" customHeight="false" outlineLevel="0" collapsed="false">
      <c r="A3" s="3" t="s">
        <v>452</v>
      </c>
    </row>
    <row r="5" customFormat="false" ht="33.75" hidden="false" customHeight="true" outlineLevel="0" collapsed="false">
      <c r="A5" s="4" t="s">
        <v>299</v>
      </c>
      <c r="B5" s="4" t="s">
        <v>4</v>
      </c>
      <c r="C5" s="4" t="s">
        <v>453</v>
      </c>
      <c r="D5" s="4" t="s">
        <v>454</v>
      </c>
      <c r="E5" s="4" t="s">
        <v>455</v>
      </c>
      <c r="F5" s="4" t="s">
        <v>456</v>
      </c>
      <c r="G5" s="4" t="s">
        <v>457</v>
      </c>
      <c r="H5" s="4" t="s">
        <v>458</v>
      </c>
      <c r="I5" s="4" t="s">
        <v>459</v>
      </c>
      <c r="J5" s="4" t="s">
        <v>460</v>
      </c>
    </row>
    <row r="6" customFormat="false" ht="15" hidden="false" customHeight="false" outlineLevel="0" collapsed="false">
      <c r="A6" s="5" t="s">
        <v>9</v>
      </c>
      <c r="B6" s="6" t="s">
        <v>461</v>
      </c>
      <c r="C6" s="8" t="n">
        <f aca="false">SUMIFS('Rate Build-up'!$G$6:$G$112,'Rate Build-up'!$A$6:$A$112,A6,'Rate Build-up'!$F$6:$F$112,"M")</f>
        <v>0</v>
      </c>
      <c r="D6" s="8" t="n">
        <f aca="false">SUMIFS('Rate Build-up'!$G$6:$G$112,'Rate Build-up'!$A$6:$A$112,A6,'Rate Build-up'!$F$6:$F$112,"L")</f>
        <v>51840</v>
      </c>
      <c r="E6" s="8" t="n">
        <f aca="false">SUMIFS('Rate Build-up'!$G$6:$G$112,'Rate Build-up'!$A$6:$A$112,A6,'Rate Build-up'!$F$6:$F$112,"P")</f>
        <v>316550</v>
      </c>
      <c r="F6" s="13" t="n">
        <f aca="false">SUM(C6:E6)</f>
        <v>368390</v>
      </c>
      <c r="G6" s="8" t="n">
        <f aca="false">0</f>
        <v>0</v>
      </c>
      <c r="H6" s="8" t="n">
        <f aca="false">(F6+G6)*'Rates &amp; Inputs'!$B$5</f>
        <v>103149.2</v>
      </c>
      <c r="I6" s="13" t="n">
        <f aca="false">ROUND(F6+G6+H6,2)</f>
        <v>471539.2</v>
      </c>
      <c r="J6" s="6" t="s">
        <v>462</v>
      </c>
    </row>
    <row r="7" customFormat="false" ht="15" hidden="false" customHeight="false" outlineLevel="0" collapsed="false">
      <c r="A7" s="5" t="s">
        <v>14</v>
      </c>
      <c r="B7" s="6" t="s">
        <v>463</v>
      </c>
      <c r="C7" s="8" t="n">
        <f aca="false">SUMIFS('Rate Build-up'!$G$6:$G$112,'Rate Build-up'!$A$6:$A$112,A7,'Rate Build-up'!$F$6:$F$112,"M")</f>
        <v>0</v>
      </c>
      <c r="D7" s="8" t="n">
        <f aca="false">SUMIFS('Rate Build-up'!$G$6:$G$112,'Rate Build-up'!$A$6:$A$112,A7,'Rate Build-up'!$F$6:$F$112,"L")</f>
        <v>15629.125</v>
      </c>
      <c r="E7" s="8" t="n">
        <f aca="false">SUMIFS('Rate Build-up'!$G$6:$G$112,'Rate Build-up'!$A$6:$A$112,A7,'Rate Build-up'!$F$6:$F$112,"P")</f>
        <v>0</v>
      </c>
      <c r="F7" s="13" t="n">
        <f aca="false">SUM(C7:E7)</f>
        <v>15629.125</v>
      </c>
      <c r="G7" s="8" t="n">
        <f aca="false">0</f>
        <v>0</v>
      </c>
      <c r="H7" s="8" t="n">
        <f aca="false">(F7+G7)*'Rates &amp; Inputs'!$B$5</f>
        <v>4376.155</v>
      </c>
      <c r="I7" s="13" t="n">
        <f aca="false">ROUND(F7+G7+H7,2)</f>
        <v>20005.28</v>
      </c>
      <c r="J7" s="6" t="s">
        <v>462</v>
      </c>
    </row>
    <row r="8" customFormat="false" ht="15" hidden="false" customHeight="false" outlineLevel="0" collapsed="false">
      <c r="A8" s="5" t="s">
        <v>16</v>
      </c>
      <c r="B8" s="6" t="s">
        <v>464</v>
      </c>
      <c r="C8" s="8" t="n">
        <f aca="false">SUMIFS('Rate Build-up'!$G$6:$G$112,'Rate Build-up'!$A$6:$A$112,A8,'Rate Build-up'!$F$6:$F$112,"M")</f>
        <v>10804.375</v>
      </c>
      <c r="D8" s="8" t="n">
        <f aca="false">SUMIFS('Rate Build-up'!$G$6:$G$112,'Rate Build-up'!$A$6:$A$112,A8,'Rate Build-up'!$F$6:$F$112,"L")</f>
        <v>7952.85714285714</v>
      </c>
      <c r="E8" s="8" t="n">
        <f aca="false">SUMIFS('Rate Build-up'!$G$6:$G$112,'Rate Build-up'!$A$6:$A$112,A8,'Rate Build-up'!$F$6:$F$112,"P")</f>
        <v>6446</v>
      </c>
      <c r="F8" s="13" t="n">
        <f aca="false">SUM(C8:E8)</f>
        <v>25203.2321428571</v>
      </c>
      <c r="G8" s="8" t="n">
        <f aca="false">0</f>
        <v>0</v>
      </c>
      <c r="H8" s="8" t="n">
        <f aca="false">(F8+G8)*'Rates &amp; Inputs'!$B$5</f>
        <v>7056.905</v>
      </c>
      <c r="I8" s="13" t="n">
        <f aca="false">ROUND(F8+G8+H8,2)</f>
        <v>32260.14</v>
      </c>
      <c r="J8" s="6" t="s">
        <v>462</v>
      </c>
    </row>
    <row r="9" customFormat="false" ht="15" hidden="false" customHeight="false" outlineLevel="0" collapsed="false">
      <c r="A9" s="5" t="s">
        <v>18</v>
      </c>
      <c r="B9" s="6" t="s">
        <v>465</v>
      </c>
      <c r="C9" s="8" t="n">
        <f aca="false">SUMIFS('Rate Build-up'!$G$6:$G$112,'Rate Build-up'!$A$6:$A$112,A9,'Rate Build-up'!$F$6:$F$112,"M")</f>
        <v>4007.7</v>
      </c>
      <c r="D9" s="8" t="n">
        <f aca="false">SUMIFS('Rate Build-up'!$G$6:$G$112,'Rate Build-up'!$A$6:$A$112,A9,'Rate Build-up'!$F$6:$F$112,"L")</f>
        <v>3027</v>
      </c>
      <c r="E9" s="8" t="n">
        <f aca="false">SUMIFS('Rate Build-up'!$G$6:$G$112,'Rate Build-up'!$A$6:$A$112,A9,'Rate Build-up'!$F$6:$F$112,"P")</f>
        <v>0</v>
      </c>
      <c r="F9" s="13" t="n">
        <f aca="false">SUM(C9:E9)</f>
        <v>7034.7</v>
      </c>
      <c r="G9" s="8" t="n">
        <f aca="false">0</f>
        <v>0</v>
      </c>
      <c r="H9" s="8" t="n">
        <f aca="false">(F9+G9)*'Rates &amp; Inputs'!$B$5</f>
        <v>1969.716</v>
      </c>
      <c r="I9" s="13" t="n">
        <f aca="false">ROUND(F9+G9+H9,2)</f>
        <v>9004.42</v>
      </c>
      <c r="J9" s="6" t="s">
        <v>462</v>
      </c>
    </row>
    <row r="10" customFormat="false" ht="15" hidden="false" customHeight="false" outlineLevel="0" collapsed="false">
      <c r="A10" s="5" t="s">
        <v>20</v>
      </c>
      <c r="B10" s="6" t="s">
        <v>466</v>
      </c>
      <c r="C10" s="8" t="n">
        <f aca="false">SUMIFS('Rate Build-up'!$G$6:$G$112,'Rate Build-up'!$A$6:$A$112,A10,'Rate Build-up'!$F$6:$F$112,"M")</f>
        <v>59807</v>
      </c>
      <c r="D10" s="8" t="n">
        <f aca="false">SUMIFS('Rate Build-up'!$G$6:$G$112,'Rate Build-up'!$A$6:$A$112,A10,'Rate Build-up'!$F$6:$F$112,"L")</f>
        <v>31680.7857142857</v>
      </c>
      <c r="E10" s="8" t="n">
        <f aca="false">SUMIFS('Rate Build-up'!$G$6:$G$112,'Rate Build-up'!$A$6:$A$112,A10,'Rate Build-up'!$F$6:$F$112,"P")</f>
        <v>0</v>
      </c>
      <c r="F10" s="13" t="n">
        <f aca="false">SUM(C10:E10)</f>
        <v>91487.7857142857</v>
      </c>
      <c r="G10" s="8" t="n">
        <f aca="false">0</f>
        <v>0</v>
      </c>
      <c r="H10" s="8" t="n">
        <f aca="false">(F10+G10)*'Rates &amp; Inputs'!$B$5</f>
        <v>25616.58</v>
      </c>
      <c r="I10" s="13" t="n">
        <f aca="false">ROUND(F10+G10+H10,2)</f>
        <v>117104.37</v>
      </c>
      <c r="J10" s="6" t="s">
        <v>462</v>
      </c>
    </row>
    <row r="11" customFormat="false" ht="15" hidden="false" customHeight="false" outlineLevel="0" collapsed="false">
      <c r="A11" s="5" t="s">
        <v>22</v>
      </c>
      <c r="B11" s="6" t="s">
        <v>467</v>
      </c>
      <c r="C11" s="8" t="n">
        <f aca="false">SUMIFS('Rate Build-up'!$G$6:$G$112,'Rate Build-up'!$A$6:$A$112,A11,'Rate Build-up'!$F$6:$F$112,"M")</f>
        <v>0</v>
      </c>
      <c r="D11" s="8" t="n">
        <f aca="false">SUMIFS('Rate Build-up'!$G$6:$G$112,'Rate Build-up'!$A$6:$A$112,A11,'Rate Build-up'!$F$6:$F$112,"L")</f>
        <v>1380</v>
      </c>
      <c r="E11" s="8" t="n">
        <f aca="false">SUMIFS('Rate Build-up'!$G$6:$G$112,'Rate Build-up'!$A$6:$A$112,A11,'Rate Build-up'!$F$6:$F$112,"P")</f>
        <v>4500</v>
      </c>
      <c r="F11" s="13" t="n">
        <f aca="false">SUM(C11:E11)</f>
        <v>5880</v>
      </c>
      <c r="G11" s="8" t="n">
        <f aca="false">0</f>
        <v>0</v>
      </c>
      <c r="H11" s="8" t="n">
        <f aca="false">(F11+G11)*'Rates &amp; Inputs'!$B$5</f>
        <v>1646.4</v>
      </c>
      <c r="I11" s="13" t="n">
        <f aca="false">ROUND(F11+G11+H11,2)</f>
        <v>7526.4</v>
      </c>
      <c r="J11" s="6" t="s">
        <v>462</v>
      </c>
    </row>
    <row r="12" customFormat="false" ht="15" hidden="false" customHeight="false" outlineLevel="0" collapsed="false">
      <c r="A12" s="5" t="s">
        <v>24</v>
      </c>
      <c r="B12" s="6" t="s">
        <v>468</v>
      </c>
      <c r="C12" s="8" t="n">
        <f aca="false">SUMIFS('Rate Build-up'!$G$6:$G$112,'Rate Build-up'!$A$6:$A$112,A12,'Rate Build-up'!$F$6:$F$112,"M")</f>
        <v>0</v>
      </c>
      <c r="D12" s="8" t="n">
        <f aca="false">SUMIFS('Rate Build-up'!$G$6:$G$112,'Rate Build-up'!$A$6:$A$112,A12,'Rate Build-up'!$F$6:$F$112,"L")</f>
        <v>48603.7642857143</v>
      </c>
      <c r="E12" s="8" t="n">
        <f aca="false">SUMIFS('Rate Build-up'!$G$6:$G$112,'Rate Build-up'!$A$6:$A$112,A12,'Rate Build-up'!$F$6:$F$112,"P")</f>
        <v>44583.6452380952</v>
      </c>
      <c r="F12" s="13" t="n">
        <f aca="false">SUM(C12:E12)</f>
        <v>93187.4095238095</v>
      </c>
      <c r="G12" s="8" t="n">
        <f aca="false">0</f>
        <v>0</v>
      </c>
      <c r="H12" s="8" t="n">
        <f aca="false">(F12+G12)*'Rates &amp; Inputs'!$B$5</f>
        <v>26092.4746666667</v>
      </c>
      <c r="I12" s="13" t="n">
        <f aca="false">ROUND(F12+G12+H12,2)</f>
        <v>119279.88</v>
      </c>
      <c r="J12" s="6" t="s">
        <v>462</v>
      </c>
    </row>
    <row r="13" customFormat="false" ht="15" hidden="false" customHeight="false" outlineLevel="0" collapsed="false">
      <c r="A13" s="5" t="s">
        <v>28</v>
      </c>
      <c r="B13" s="6" t="s">
        <v>469</v>
      </c>
      <c r="C13" s="8" t="n">
        <f aca="false">SUMIFS('Rate Build-up'!$G$6:$G$112,'Rate Build-up'!$A$6:$A$112,A13,'Rate Build-up'!$F$6:$F$112,"M")</f>
        <v>21203.49783</v>
      </c>
      <c r="D13" s="8" t="n">
        <f aca="false">SUMIFS('Rate Build-up'!$G$6:$G$112,'Rate Build-up'!$A$6:$A$112,A13,'Rate Build-up'!$F$6:$F$112,"L")</f>
        <v>16060.3742857143</v>
      </c>
      <c r="E13" s="8" t="n">
        <f aca="false">SUMIFS('Rate Build-up'!$G$6:$G$112,'Rate Build-up'!$A$6:$A$112,A13,'Rate Build-up'!$F$6:$F$112,"P")</f>
        <v>7607.54571428571</v>
      </c>
      <c r="F13" s="13" t="n">
        <f aca="false">SUM(C13:E13)</f>
        <v>44871.41783</v>
      </c>
      <c r="G13" s="8" t="n">
        <f aca="false">F13*'Rates &amp; Inputs'!$B$6</f>
        <v>1346.1425349</v>
      </c>
      <c r="H13" s="8" t="n">
        <f aca="false">(F13+G13)*'Rates &amp; Inputs'!$B$5</f>
        <v>12940.916902172</v>
      </c>
      <c r="I13" s="13" t="n">
        <f aca="false">ROUND(F13+G13+H13,2)</f>
        <v>59158.48</v>
      </c>
      <c r="J13" s="6" t="s">
        <v>462</v>
      </c>
    </row>
    <row r="14" customFormat="false" ht="15" hidden="false" customHeight="false" outlineLevel="0" collapsed="false">
      <c r="A14" s="5" t="s">
        <v>30</v>
      </c>
      <c r="B14" s="6" t="s">
        <v>470</v>
      </c>
      <c r="C14" s="8" t="n">
        <f aca="false">SUMIFS('Rate Build-up'!$G$6:$G$112,'Rate Build-up'!$A$6:$A$112,A14,'Rate Build-up'!$F$6:$F$112,"M")</f>
        <v>105264.245</v>
      </c>
      <c r="D14" s="8" t="n">
        <f aca="false">SUMIFS('Rate Build-up'!$G$6:$G$112,'Rate Build-up'!$A$6:$A$112,A14,'Rate Build-up'!$F$6:$F$112,"L")</f>
        <v>19269.1125</v>
      </c>
      <c r="E14" s="8" t="n">
        <f aca="false">SUMIFS('Rate Build-up'!$G$6:$G$112,'Rate Build-up'!$A$6:$A$112,A14,'Rate Build-up'!$F$6:$F$112,"P")</f>
        <v>0</v>
      </c>
      <c r="F14" s="13" t="n">
        <f aca="false">SUM(C14:E14)</f>
        <v>124533.3575</v>
      </c>
      <c r="G14" s="8" t="n">
        <f aca="false">F14*'Rates &amp; Inputs'!$B$6</f>
        <v>3736.000725</v>
      </c>
      <c r="H14" s="8" t="n">
        <f aca="false">(F14+G14)*'Rates &amp; Inputs'!$B$5</f>
        <v>35915.420303</v>
      </c>
      <c r="I14" s="13" t="n">
        <f aca="false">ROUND(F14+G14+H14,2)</f>
        <v>164184.78</v>
      </c>
      <c r="J14" s="6" t="s">
        <v>462</v>
      </c>
    </row>
    <row r="15" customFormat="false" ht="15" hidden="false" customHeight="false" outlineLevel="0" collapsed="false">
      <c r="A15" s="5" t="s">
        <v>32</v>
      </c>
      <c r="B15" s="6" t="s">
        <v>471</v>
      </c>
      <c r="C15" s="8" t="n">
        <f aca="false">SUMIFS('Rate Build-up'!$G$6:$G$112,'Rate Build-up'!$A$6:$A$112,A15,'Rate Build-up'!$F$6:$F$112,"M")</f>
        <v>105924.242095</v>
      </c>
      <c r="D15" s="8" t="n">
        <f aca="false">SUMIFS('Rate Build-up'!$G$6:$G$112,'Rate Build-up'!$A$6:$A$112,A15,'Rate Build-up'!$F$6:$F$112,"L")</f>
        <v>79341.3227272727</v>
      </c>
      <c r="E15" s="8" t="n">
        <f aca="false">SUMIFS('Rate Build-up'!$G$6:$G$112,'Rate Build-up'!$A$6:$A$112,A15,'Rate Build-up'!$F$6:$F$112,"P")</f>
        <v>0</v>
      </c>
      <c r="F15" s="13" t="n">
        <f aca="false">SUM(C15:E15)</f>
        <v>185265.564822273</v>
      </c>
      <c r="G15" s="8" t="n">
        <f aca="false">F15*'Rates &amp; Inputs'!$B$6</f>
        <v>5557.96694466818</v>
      </c>
      <c r="H15" s="8" t="n">
        <f aca="false">(F15+G15)*'Rates &amp; Inputs'!$B$5</f>
        <v>53430.5888947435</v>
      </c>
      <c r="I15" s="13" t="n">
        <f aca="false">ROUND(F15+G15+H15,2)</f>
        <v>244254.12</v>
      </c>
      <c r="J15" s="6" t="s">
        <v>462</v>
      </c>
    </row>
    <row r="16" customFormat="false" ht="15" hidden="false" customHeight="false" outlineLevel="0" collapsed="false">
      <c r="A16" s="5" t="s">
        <v>34</v>
      </c>
      <c r="B16" s="6" t="s">
        <v>472</v>
      </c>
      <c r="C16" s="8" t="n">
        <f aca="false">SUMIFS('Rate Build-up'!$G$6:$G$112,'Rate Build-up'!$A$6:$A$112,A16,'Rate Build-up'!$F$6:$F$112,"M")</f>
        <v>377020</v>
      </c>
      <c r="D16" s="8" t="n">
        <f aca="false">SUMIFS('Rate Build-up'!$G$6:$G$112,'Rate Build-up'!$A$6:$A$112,A16,'Rate Build-up'!$F$6:$F$112,"L")</f>
        <v>22882.07109375</v>
      </c>
      <c r="E16" s="8" t="n">
        <f aca="false">SUMIFS('Rate Build-up'!$G$6:$G$112,'Rate Build-up'!$A$6:$A$112,A16,'Rate Build-up'!$F$6:$F$112,"P")</f>
        <v>0</v>
      </c>
      <c r="F16" s="13" t="n">
        <f aca="false">SUM(C16:E16)</f>
        <v>399902.07109375</v>
      </c>
      <c r="G16" s="8" t="n">
        <f aca="false">F16*'Rates &amp; Inputs'!$B$6</f>
        <v>11997.0621328125</v>
      </c>
      <c r="H16" s="8" t="n">
        <f aca="false">(F16+G16)*'Rates &amp; Inputs'!$B$5</f>
        <v>115331.757303438</v>
      </c>
      <c r="I16" s="13" t="n">
        <f aca="false">ROUND(F16+G16+H16,2)</f>
        <v>527230.89</v>
      </c>
      <c r="J16" s="6" t="s">
        <v>462</v>
      </c>
    </row>
    <row r="17" customFormat="false" ht="15" hidden="false" customHeight="false" outlineLevel="0" collapsed="false">
      <c r="A17" s="5" t="s">
        <v>36</v>
      </c>
      <c r="B17" s="6" t="s">
        <v>473</v>
      </c>
      <c r="C17" s="8" t="n">
        <f aca="false">SUMIFS('Rate Build-up'!$G$6:$G$112,'Rate Build-up'!$A$6:$A$112,A17,'Rate Build-up'!$F$6:$F$112,"M")</f>
        <v>55100</v>
      </c>
      <c r="D17" s="8" t="n">
        <f aca="false">SUMIFS('Rate Build-up'!$G$6:$G$112,'Rate Build-up'!$A$6:$A$112,A17,'Rate Build-up'!$F$6:$F$112,"L")</f>
        <v>5890</v>
      </c>
      <c r="E17" s="8" t="n">
        <f aca="false">SUMIFS('Rate Build-up'!$G$6:$G$112,'Rate Build-up'!$A$6:$A$112,A17,'Rate Build-up'!$F$6:$F$112,"P")</f>
        <v>0</v>
      </c>
      <c r="F17" s="13" t="n">
        <f aca="false">SUM(C17:E17)</f>
        <v>60990</v>
      </c>
      <c r="G17" s="8" t="n">
        <f aca="false">F17*'Rates &amp; Inputs'!$B$6</f>
        <v>1829.7</v>
      </c>
      <c r="H17" s="8" t="n">
        <f aca="false">(F17+G17)*'Rates &amp; Inputs'!$B$5</f>
        <v>17589.516</v>
      </c>
      <c r="I17" s="13" t="n">
        <f aca="false">ROUND(F17+G17+H17,2)</f>
        <v>80409.22</v>
      </c>
      <c r="J17" s="6" t="s">
        <v>462</v>
      </c>
    </row>
    <row r="18" customFormat="false" ht="15" hidden="false" customHeight="false" outlineLevel="0" collapsed="false">
      <c r="A18" s="5" t="s">
        <v>38</v>
      </c>
      <c r="B18" s="6" t="s">
        <v>474</v>
      </c>
      <c r="C18" s="8" t="n">
        <f aca="false">SUMIFS('Rate Build-up'!$G$6:$G$112,'Rate Build-up'!$A$6:$A$112,A18,'Rate Build-up'!$F$6:$F$112,"M")</f>
        <v>126744.854330898</v>
      </c>
      <c r="D18" s="8" t="n">
        <f aca="false">SUMIFS('Rate Build-up'!$G$6:$G$112,'Rate Build-up'!$A$6:$A$112,A18,'Rate Build-up'!$F$6:$F$112,"L")</f>
        <v>13072.9258891392</v>
      </c>
      <c r="E18" s="8" t="n">
        <f aca="false">SUMIFS('Rate Build-up'!$G$6:$G$112,'Rate Build-up'!$A$6:$A$112,A18,'Rate Build-up'!$F$6:$F$112,"P")</f>
        <v>5241.9357461778</v>
      </c>
      <c r="F18" s="13" t="n">
        <f aca="false">SUM(C18:E18)</f>
        <v>145059.715966215</v>
      </c>
      <c r="G18" s="8" t="n">
        <f aca="false">F18*'Rates &amp; Inputs'!$B$6</f>
        <v>4351.79147898645</v>
      </c>
      <c r="H18" s="8" t="n">
        <f aca="false">(F18+G18)*'Rates &amp; Inputs'!$B$5</f>
        <v>41835.2220846564</v>
      </c>
      <c r="I18" s="13" t="n">
        <f aca="false">ROUND(F18+G18+H18,2)</f>
        <v>191246.73</v>
      </c>
      <c r="J18" s="6" t="s">
        <v>462</v>
      </c>
    </row>
    <row r="19" customFormat="false" ht="15" hidden="false" customHeight="false" outlineLevel="0" collapsed="false">
      <c r="A19" s="5" t="s">
        <v>40</v>
      </c>
      <c r="B19" s="6" t="s">
        <v>475</v>
      </c>
      <c r="C19" s="8" t="n">
        <f aca="false">SUMIFS('Rate Build-up'!$G$6:$G$112,'Rate Build-up'!$A$6:$A$112,A19,'Rate Build-up'!$F$6:$F$112,"M")</f>
        <v>5784</v>
      </c>
      <c r="D19" s="8" t="n">
        <f aca="false">SUMIFS('Rate Build-up'!$G$6:$G$112,'Rate Build-up'!$A$6:$A$112,A19,'Rate Build-up'!$F$6:$F$112,"L")</f>
        <v>7057.14285714286</v>
      </c>
      <c r="E19" s="8" t="n">
        <f aca="false">SUMIFS('Rate Build-up'!$G$6:$G$112,'Rate Build-up'!$A$6:$A$112,A19,'Rate Build-up'!$F$6:$F$112,"P")</f>
        <v>0</v>
      </c>
      <c r="F19" s="13" t="n">
        <f aca="false">SUM(C19:E19)</f>
        <v>12841.1428571429</v>
      </c>
      <c r="G19" s="8" t="n">
        <f aca="false">F19*'Rates &amp; Inputs'!$B$6</f>
        <v>385.234285714286</v>
      </c>
      <c r="H19" s="8" t="n">
        <f aca="false">(F19+G19)*'Rates &amp; Inputs'!$B$5</f>
        <v>3703.3856</v>
      </c>
      <c r="I19" s="13" t="n">
        <f aca="false">ROUND(F19+G19+H19,2)</f>
        <v>16929.76</v>
      </c>
      <c r="J19" s="6" t="s">
        <v>462</v>
      </c>
    </row>
    <row r="20" customFormat="false" ht="15" hidden="false" customHeight="false" outlineLevel="0" collapsed="false">
      <c r="A20" s="5" t="s">
        <v>44</v>
      </c>
      <c r="B20" s="6" t="s">
        <v>476</v>
      </c>
      <c r="C20" s="8" t="n">
        <f aca="false">SUMIFS('Rate Build-up'!$G$6:$G$112,'Rate Build-up'!$A$6:$A$112,A20,'Rate Build-up'!$F$6:$F$112,"M")</f>
        <v>0</v>
      </c>
      <c r="D20" s="8" t="n">
        <f aca="false">SUMIFS('Rate Build-up'!$G$6:$G$112,'Rate Build-up'!$A$6:$A$112,A20,'Rate Build-up'!$F$6:$F$112,"L")</f>
        <v>4.6</v>
      </c>
      <c r="E20" s="8" t="n">
        <f aca="false">SUMIFS('Rate Build-up'!$G$6:$G$112,'Rate Build-up'!$A$6:$A$112,A20,'Rate Build-up'!$F$6:$F$112,"P")</f>
        <v>1.5</v>
      </c>
      <c r="F20" s="13" t="n">
        <f aca="false">SUM(C20:E20)</f>
        <v>6.1</v>
      </c>
      <c r="G20" s="8" t="n">
        <f aca="false">0</f>
        <v>0</v>
      </c>
      <c r="H20" s="8" t="n">
        <f aca="false">(F20+G20)*'Rates &amp; Inputs'!$B$5</f>
        <v>1.708</v>
      </c>
      <c r="I20" s="13" t="n">
        <f aca="false">ROUND(F20+G20+H20,2)</f>
        <v>7.81</v>
      </c>
      <c r="J20" s="6" t="s">
        <v>477</v>
      </c>
    </row>
    <row r="21" customFormat="false" ht="15" hidden="false" customHeight="false" outlineLevel="0" collapsed="false">
      <c r="A21" s="5" t="s">
        <v>47</v>
      </c>
      <c r="B21" s="6" t="s">
        <v>478</v>
      </c>
      <c r="C21" s="8" t="n">
        <f aca="false">SUMIFS('Rate Build-up'!$G$6:$G$112,'Rate Build-up'!$A$6:$A$112,A21,'Rate Build-up'!$F$6:$F$112,"M")</f>
        <v>16.52</v>
      </c>
      <c r="D21" s="8" t="n">
        <f aca="false">SUMIFS('Rate Build-up'!$G$6:$G$112,'Rate Build-up'!$A$6:$A$112,A21,'Rate Build-up'!$F$6:$F$112,"L")</f>
        <v>15.8333333333333</v>
      </c>
      <c r="E21" s="8" t="n">
        <f aca="false">SUMIFS('Rate Build-up'!$G$6:$G$112,'Rate Build-up'!$A$6:$A$112,A21,'Rate Build-up'!$F$6:$F$112,"P")</f>
        <v>0</v>
      </c>
      <c r="F21" s="13" t="n">
        <f aca="false">SUM(C21:E21)</f>
        <v>32.3533333333333</v>
      </c>
      <c r="G21" s="8" t="n">
        <f aca="false">0</f>
        <v>0</v>
      </c>
      <c r="H21" s="8" t="n">
        <f aca="false">(F21+G21)*'Rates &amp; Inputs'!$B$5</f>
        <v>9.05893333333333</v>
      </c>
      <c r="I21" s="13" t="n">
        <f aca="false">ROUND(F21+G21+H21,2)</f>
        <v>41.41</v>
      </c>
      <c r="J21" s="6" t="s">
        <v>477</v>
      </c>
    </row>
    <row r="22" customFormat="false" ht="15" hidden="false" customHeight="false" outlineLevel="0" collapsed="false">
      <c r="A22" s="5" t="s">
        <v>49</v>
      </c>
      <c r="B22" s="6" t="s">
        <v>479</v>
      </c>
      <c r="C22" s="8" t="n">
        <f aca="false">SUMIFS('Rate Build-up'!$G$6:$G$112,'Rate Build-up'!$A$6:$A$112,A22,'Rate Build-up'!$F$6:$F$112,"M")</f>
        <v>3776</v>
      </c>
      <c r="D22" s="8" t="n">
        <f aca="false">SUMIFS('Rate Build-up'!$G$6:$G$112,'Rate Build-up'!$A$6:$A$112,A22,'Rate Build-up'!$F$6:$F$112,"L")</f>
        <v>1140</v>
      </c>
      <c r="E22" s="8" t="n">
        <f aca="false">SUMIFS('Rate Build-up'!$G$6:$G$112,'Rate Build-up'!$A$6:$A$112,A22,'Rate Build-up'!$F$6:$F$112,"P")</f>
        <v>0</v>
      </c>
      <c r="F22" s="13" t="n">
        <f aca="false">SUM(C22:E22)</f>
        <v>4916</v>
      </c>
      <c r="G22" s="8" t="n">
        <f aca="false">0</f>
        <v>0</v>
      </c>
      <c r="H22" s="8" t="n">
        <f aca="false">(F22+G22)*'Rates &amp; Inputs'!$B$5</f>
        <v>1376.48</v>
      </c>
      <c r="I22" s="13" t="n">
        <f aca="false">ROUND(F22+G22+H22,2)</f>
        <v>6292.48</v>
      </c>
      <c r="J22" s="6" t="s">
        <v>477</v>
      </c>
    </row>
    <row r="23" customFormat="false" ht="15" hidden="false" customHeight="false" outlineLevel="0" collapsed="false">
      <c r="A23" s="5" t="s">
        <v>52</v>
      </c>
      <c r="B23" s="6" t="s">
        <v>480</v>
      </c>
      <c r="C23" s="8" t="n">
        <f aca="false">SUMIFS('Rate Build-up'!$G$6:$G$112,'Rate Build-up'!$A$6:$A$112,A23,'Rate Build-up'!$F$6:$F$112,"M")</f>
        <v>5.31</v>
      </c>
      <c r="D23" s="8" t="n">
        <f aca="false">SUMIFS('Rate Build-up'!$G$6:$G$112,'Rate Build-up'!$A$6:$A$112,A23,'Rate Build-up'!$F$6:$F$112,"L")</f>
        <v>4.75</v>
      </c>
      <c r="E23" s="8" t="n">
        <f aca="false">SUMIFS('Rate Build-up'!$G$6:$G$112,'Rate Build-up'!$A$6:$A$112,A23,'Rate Build-up'!$F$6:$F$112,"P")</f>
        <v>0</v>
      </c>
      <c r="F23" s="13" t="n">
        <f aca="false">SUM(C23:E23)</f>
        <v>10.06</v>
      </c>
      <c r="G23" s="8" t="n">
        <f aca="false">0</f>
        <v>0</v>
      </c>
      <c r="H23" s="8" t="n">
        <f aca="false">(F23+G23)*'Rates &amp; Inputs'!$B$5</f>
        <v>2.8168</v>
      </c>
      <c r="I23" s="13" t="n">
        <f aca="false">ROUND(F23+G23+H23,2)</f>
        <v>12.88</v>
      </c>
      <c r="J23" s="6" t="s">
        <v>477</v>
      </c>
    </row>
    <row r="24" customFormat="false" ht="15" hidden="false" customHeight="false" outlineLevel="0" collapsed="false">
      <c r="A24" s="5" t="s">
        <v>54</v>
      </c>
      <c r="B24" s="6" t="s">
        <v>481</v>
      </c>
      <c r="C24" s="8" t="n">
        <f aca="false">SUMIFS('Rate Build-up'!$G$6:$G$112,'Rate Build-up'!$A$6:$A$112,A24,'Rate Build-up'!$F$6:$F$112,"M")</f>
        <v>112.1</v>
      </c>
      <c r="D24" s="8" t="n">
        <f aca="false">SUMIFS('Rate Build-up'!$G$6:$G$112,'Rate Build-up'!$A$6:$A$112,A24,'Rate Build-up'!$F$6:$F$112,"L")</f>
        <v>47.5</v>
      </c>
      <c r="E24" s="8" t="n">
        <f aca="false">SUMIFS('Rate Build-up'!$G$6:$G$112,'Rate Build-up'!$A$6:$A$112,A24,'Rate Build-up'!$F$6:$F$112,"P")</f>
        <v>0</v>
      </c>
      <c r="F24" s="13" t="n">
        <f aca="false">SUM(C24:E24)</f>
        <v>159.6</v>
      </c>
      <c r="G24" s="8" t="n">
        <f aca="false">0</f>
        <v>0</v>
      </c>
      <c r="H24" s="8" t="n">
        <f aca="false">(F24+G24)*'Rates &amp; Inputs'!$B$5</f>
        <v>44.688</v>
      </c>
      <c r="I24" s="13" t="n">
        <f aca="false">ROUND(F24+G24+H24,2)</f>
        <v>204.29</v>
      </c>
      <c r="J24" s="6" t="s">
        <v>477</v>
      </c>
    </row>
    <row r="25" customFormat="false" ht="15" hidden="false" customHeight="false" outlineLevel="0" collapsed="false">
      <c r="A25" s="5" t="s">
        <v>56</v>
      </c>
      <c r="B25" s="6" t="s">
        <v>482</v>
      </c>
      <c r="C25" s="8" t="n">
        <f aca="false">SUMIFS('Rate Build-up'!$G$6:$G$112,'Rate Build-up'!$A$6:$A$112,A25,'Rate Build-up'!$F$6:$F$112,"M")</f>
        <v>32</v>
      </c>
      <c r="D25" s="8" t="n">
        <f aca="false">SUMIFS('Rate Build-up'!$G$6:$G$112,'Rate Build-up'!$A$6:$A$112,A25,'Rate Build-up'!$F$6:$F$112,"L")</f>
        <v>19</v>
      </c>
      <c r="E25" s="8" t="n">
        <f aca="false">SUMIFS('Rate Build-up'!$G$6:$G$112,'Rate Build-up'!$A$6:$A$112,A25,'Rate Build-up'!$F$6:$F$112,"P")</f>
        <v>0</v>
      </c>
      <c r="F25" s="13" t="n">
        <f aca="false">SUM(C25:E25)</f>
        <v>51</v>
      </c>
      <c r="G25" s="8" t="n">
        <f aca="false">0</f>
        <v>0</v>
      </c>
      <c r="H25" s="8" t="n">
        <f aca="false">(F25+G25)*'Rates &amp; Inputs'!$B$5</f>
        <v>14.28</v>
      </c>
      <c r="I25" s="13" t="n">
        <f aca="false">ROUND(F25+G25+H25,2)</f>
        <v>65.28</v>
      </c>
      <c r="J25" s="6" t="s">
        <v>477</v>
      </c>
    </row>
    <row r="26" customFormat="false" ht="15" hidden="false" customHeight="false" outlineLevel="0" collapsed="false">
      <c r="A26" s="27" t="s">
        <v>483</v>
      </c>
      <c r="B26" s="15"/>
      <c r="C26" s="17" t="n">
        <f aca="false">SUM(C6:C19)</f>
        <v>871659.914255898</v>
      </c>
      <c r="D26" s="17" t="n">
        <f aca="false">SUM(D6:D19)</f>
        <v>323686.481495876</v>
      </c>
      <c r="E26" s="17" t="n">
        <f aca="false">SUM(E6:E19)</f>
        <v>384929.126698559</v>
      </c>
      <c r="F26" s="17" t="n">
        <f aca="false">SUM(F6:F19)</f>
        <v>1580275.52245033</v>
      </c>
      <c r="G26" s="17" t="n">
        <f aca="false">SUM(G6:G19)</f>
        <v>29203.8981020814</v>
      </c>
      <c r="H26" s="17" t="n">
        <f aca="false">SUM(H6:H19)</f>
        <v>450654.237754676</v>
      </c>
      <c r="I26" s="17" t="n">
        <f aca="false">SUM(I6:I19)</f>
        <v>2060133.67</v>
      </c>
      <c r="J26" s="15"/>
    </row>
    <row r="28" customFormat="false" ht="15" hidden="false" customHeight="false" outlineLevel="0" collapsed="false">
      <c r="A28" s="19" t="s">
        <v>484</v>
      </c>
    </row>
    <row r="29" customFormat="false" ht="15" hidden="false" customHeight="false" outlineLevel="0" collapsed="false">
      <c r="A29" s="20" t="s">
        <v>485</v>
      </c>
    </row>
    <row r="30" customFormat="false" ht="15" hidden="false" customHeight="false" outlineLevel="0" collapsed="false">
      <c r="A30" s="20" t="s">
        <v>486</v>
      </c>
    </row>
    <row r="31" customFormat="false" ht="15" hidden="false" customHeight="false" outlineLevel="0" collapsed="false">
      <c r="A31" s="20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2026-10-12T09:27:27Z</dcterms:created>
  <dc:creator>openpyxl</dc:creator>
  <dc:description/>
  <dc:language>en-US</dc:language>
  <cp:lastModifiedBy/>
  <dcterms:modified xsi:type="dcterms:W3CDTF">2026-10-12T09:27:27Z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