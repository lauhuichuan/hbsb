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Requirement" sheetId="1" state="visible" r:id="rId3"/>
    <sheet name="Per-floor break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<sst xmlns="http://schemas.openxmlformats.org/spreadsheetml/2006/main" count="224" uniqueCount="148">
  <si>
    <t xml:space="preserve">HOLY BUILDERS SDN. BHD.</t>
  </si>
  <si>
    <t xml:space="preserve">MATERIAL REQUIREMENT SCHEDULE - WATERPROOFING WORKS</t>
  </si>
  <si>
    <t xml:space="preserve">Project</t>
  </si>
  <si>
    <t xml:space="preserve">The Proposed Provision and Laying of Waterproofing Membrane to Existing Roof Balconies and Associated Works at Wisma Bintulu Building</t>
  </si>
  <si>
    <t xml:space="preserve">Client</t>
  </si>
  <si>
    <t xml:space="preserve">Lembaga Kemajuan Bintulu (BDA)</t>
  </si>
  <si>
    <t xml:space="preserve">Drawing ref.</t>
  </si>
  <si>
    <t xml:space="preserve">BDA-MWS/BLD/1/2025 (1/11 - 11/11)</t>
  </si>
  <si>
    <t xml:space="preserve">Doc. no.</t>
  </si>
  <si>
    <t xml:space="preserve">HB/MR/WB-WP/2026-001   Rev. 0</t>
  </si>
  <si>
    <t xml:space="preserve">Date</t>
  </si>
  <si>
    <t xml:space="preserve">October 2026</t>
  </si>
  <si>
    <t xml:space="preserve">Prepared by</t>
  </si>
  <si>
    <t xml:space="preserve">Checked by</t>
  </si>
  <si>
    <t xml:space="preserve">Wastage / top-up allowance</t>
  </si>
  <si>
    <t xml:space="preserve">&lt;- editable; applied to every line</t>
  </si>
  <si>
    <t xml:space="preserve">A. MEASURED AREAS (from CAD take-off)</t>
  </si>
  <si>
    <t xml:space="preserve">Ref</t>
  </si>
  <si>
    <t xml:space="preserve">Element</t>
  </si>
  <si>
    <t xml:space="preserve">Floor</t>
  </si>
  <si>
    <t xml:space="preserve">Area (m²)</t>
  </si>
  <si>
    <t xml:space="preserve">Source</t>
  </si>
  <si>
    <t xml:space="preserve">A1</t>
  </si>
  <si>
    <t xml:space="preserve">Existing RC gutter</t>
  </si>
  <si>
    <t xml:space="preserve">1st Floor</t>
  </si>
  <si>
    <t xml:space="preserve">Waterproofing_Contract.dwg hatch take-off (plan area)</t>
  </si>
  <si>
    <t xml:space="preserve">A2</t>
  </si>
  <si>
    <t xml:space="preserve">Scupper drains</t>
  </si>
  <si>
    <t xml:space="preserve">3rd - 6th Floor</t>
  </si>
  <si>
    <t xml:space="preserve">A3</t>
  </si>
  <si>
    <t xml:space="preserve">Balcony floors</t>
  </si>
  <si>
    <t xml:space="preserve">B. MATERIAL REQUIREMENT</t>
  </si>
  <si>
    <t xml:space="preserve">Item</t>
  </si>
  <si>
    <t xml:space="preserve">Material / product</t>
  </si>
  <si>
    <t xml:space="preserve">Specification / description</t>
  </si>
  <si>
    <t xml:space="preserve">Used for</t>
  </si>
  <si>
    <t xml:space="preserve">Area ref</t>
  </si>
  <si>
    <t xml:space="preserve">Coats</t>
  </si>
  <si>
    <t xml:space="preserve">Consumption (kg/m² per coat)</t>
  </si>
  <si>
    <t xml:space="preserve">Net qty (kg)</t>
  </si>
  <si>
    <t xml:space="preserve">Wastage %</t>
  </si>
  <si>
    <t xml:space="preserve">Required qty (kg)</t>
  </si>
  <si>
    <t xml:space="preserve">Unit pack</t>
  </si>
  <si>
    <t xml:space="preserve">Pack size (kg)</t>
  </si>
  <si>
    <t xml:space="preserve">Packs to order</t>
  </si>
  <si>
    <t xml:space="preserve">Supplier</t>
  </si>
  <si>
    <t xml:space="preserve">Remarks</t>
  </si>
  <si>
    <t xml:space="preserve">1</t>
  </si>
  <si>
    <t xml:space="preserve">SikaTop Seal-107 (MY)</t>
  </si>
  <si>
    <t xml:space="preserve">2-part polymer-modified cementitious waterproofing slurry; Part A liquid 5 kg + Part B powder 20 kg</t>
  </si>
  <si>
    <t xml:space="preserve">Existing RC gutter - 3 coats</t>
  </si>
  <si>
    <t xml:space="preserve">25 kg set</t>
  </si>
  <si>
    <t xml:space="preserve">Sika Kimia Sdn Bhd</t>
  </si>
  <si>
    <t xml:space="preserve">1.5 kg/m²/coat per Sika PDS (terraces/balconies, up to 1 m head). Order items 1 &amp; 2 as one lot.</t>
  </si>
  <si>
    <t xml:space="preserve">2</t>
  </si>
  <si>
    <t xml:space="preserve">As item 1</t>
  </si>
  <si>
    <t xml:space="preserve">Scupper drains - 3 coats</t>
  </si>
  <si>
    <t xml:space="preserve">As item 1.</t>
  </si>
  <si>
    <t xml:space="preserve">3</t>
  </si>
  <si>
    <t xml:space="preserve">Sikalastic U-Primer</t>
  </si>
  <si>
    <t xml:space="preserve">1-part solvent-based polyurethane primer for concrete / cementitious substrates</t>
  </si>
  <si>
    <t xml:space="preserve">Balcony floors - 1 coat before Sikalastic-632 R</t>
  </si>
  <si>
    <t xml:space="preserve">14 kg pail</t>
  </si>
  <si>
    <t xml:space="preserve">~0.20 kg/m² per coat (Sika Malaysia PDS Apr 2023).</t>
  </si>
  <si>
    <t xml:space="preserve">4</t>
  </si>
  <si>
    <t xml:space="preserve">Sikalastic-632 R</t>
  </si>
  <si>
    <t xml:space="preserve">1-part moisture-triggered rapid-curing PU liquid-applied roof waterproofing membrane, grey, density ~1.40 kg/l</t>
  </si>
  <si>
    <t xml:space="preserve">Balcony floors - 3 layers</t>
  </si>
  <si>
    <t xml:space="preserve">21 kg pail</t>
  </si>
  <si>
    <t xml:space="preserve">0.70 kg/m²/coat x 3 = 2.10 kg/m² (upper value of PDS range 1.05-2.10 kg/m²).</t>
  </si>
  <si>
    <t xml:space="preserve">5</t>
  </si>
  <si>
    <t xml:space="preserve">Sika Reemat Premium</t>
  </si>
  <si>
    <t xml:space="preserve">Glass-fibre reinforcement mat for Sikalastic liquid membranes (roll)</t>
  </si>
  <si>
    <t xml:space="preserve">Local reinforcement: 300 mm strips at scupper drain edges, RWDP outlets, upstands, cracks</t>
  </si>
  <si>
    <t xml:space="preserve">-</t>
  </si>
  <si>
    <t xml:space="preserve">roll (1 m x 50 m = 50 m²)</t>
  </si>
  <si>
    <t xml:space="preserve">Allowance in m² (not kg): 300 mm strips both sides of all scupper drain rings, approx. 2 x 0.30 m x 1,000 m = 600 m². Roll 50 m² - confirm with Sika.</t>
  </si>
  <si>
    <t xml:space="preserve">6</t>
  </si>
  <si>
    <t xml:space="preserve">Sika Reactivation Primer</t>
  </si>
  <si>
    <t xml:space="preserve">Primer for overcoating cured Sikalastic-632 R after &gt; 2 days</t>
  </si>
  <si>
    <t xml:space="preserve">Contingency for interrupted coats / day joints</t>
  </si>
  <si>
    <t xml:space="preserve">pail</t>
  </si>
  <si>
    <t xml:space="preserve">Allowance - adjust to programme.</t>
  </si>
  <si>
    <t xml:space="preserve">7</t>
  </si>
  <si>
    <t xml:space="preserve">Sikaflex PU sealant (Sikaflex-11 FC+ or equivalent)</t>
  </si>
  <si>
    <t xml:space="preserve">1-part polyurethane elastic joint sealant</t>
  </si>
  <si>
    <t xml:space="preserve">Sealing of new 100/110 mm uPVC RWDP penetrations, cracks &gt; 0.3 mm, upstand joints</t>
  </si>
  <si>
    <t xml:space="preserve">cartridge (300 ml)</t>
  </si>
  <si>
    <t xml:space="preserve">Allowance: approx. 1 cartridge per RWDP penetration + crack sealing. Enter required kg (0.4 kg per 300 ml cartridge).</t>
  </si>
  <si>
    <t xml:space="preserve">8</t>
  </si>
  <si>
    <t xml:space="preserve">Sika repair mortar (SikaTop-122 / Sika MonoTop)</t>
  </si>
  <si>
    <t xml:space="preserve">Polymer-modified cementitious repair / fairing mortar</t>
  </si>
  <si>
    <t xml:space="preserve">Repair of spalls, honeycombs, re-forming scupper drain profile and falls</t>
  </si>
  <si>
    <t xml:space="preserve">25 kg bag</t>
  </si>
  <si>
    <t xml:space="preserve">Allowance - to be confirmed after joint defect survey.</t>
  </si>
  <si>
    <t xml:space="preserve">9</t>
  </si>
  <si>
    <t xml:space="preserve">Sika Thinner C / Colma Cleaner</t>
  </si>
  <si>
    <t xml:space="preserve">Solvent for tool cleaning (Sikalastic products)</t>
  </si>
  <si>
    <t xml:space="preserve">Cleaning of rollers, brushes and spills</t>
  </si>
  <si>
    <t xml:space="preserve">5 L tin</t>
  </si>
  <si>
    <t xml:space="preserve">Allowance.</t>
  </si>
  <si>
    <t xml:space="preserve">10</t>
  </si>
  <si>
    <t xml:space="preserve">uPVC pipe 100 / 110 mm dia. (Class D) with fittings and sleeves</t>
  </si>
  <si>
    <t xml:space="preserve">New RWDP coring through slab / gutter wall</t>
  </si>
  <si>
    <t xml:space="preserve">Associated drainage works per drawings 2/11 - 7/11</t>
  </si>
  <si>
    <t xml:space="preserve">length (5.8 m)</t>
  </si>
  <si>
    <t xml:space="preserve">Local supplier</t>
  </si>
  <si>
    <t xml:space="preserve">Quantity by count of RWDP coring points on drawings - enter number of lengths in col N.</t>
  </si>
  <si>
    <t xml:space="preserve">11</t>
  </si>
  <si>
    <t xml:space="preserve">Floor trap covers (approved type)</t>
  </si>
  <si>
    <t xml:space="preserve">Replacement covers for existing floor traps</t>
  </si>
  <si>
    <t xml:space="preserve">3rd - 6th floor scupper drain outlets</t>
  </si>
  <si>
    <t xml:space="preserve">no.</t>
  </si>
  <si>
    <t xml:space="preserve">Enter number required in col N after site count.</t>
  </si>
  <si>
    <t xml:space="preserve">12</t>
  </si>
  <si>
    <t xml:space="preserve">Non-shrink grout</t>
  </si>
  <si>
    <t xml:space="preserve">Cementitious non-shrink grout for RWDP core-hole annulus</t>
  </si>
  <si>
    <t xml:space="preserve">RWDP coring</t>
  </si>
  <si>
    <t xml:space="preserve">Sika / local</t>
  </si>
  <si>
    <t xml:space="preserve">C. ORDER SUMMARY - SIKA PRODUCTS</t>
  </si>
  <si>
    <t xml:space="preserve">Product</t>
  </si>
  <si>
    <t xml:space="preserve">Sika Reemat Premium (m²)</t>
  </si>
  <si>
    <t xml:space="preserve">roll 50 m²</t>
  </si>
  <si>
    <t xml:space="preserve">Sikaflex PU sealant</t>
  </si>
  <si>
    <t xml:space="preserve">cartridge</t>
  </si>
  <si>
    <t xml:space="preserve">Sika repair mortar</t>
  </si>
  <si>
    <t xml:space="preserve">Notes:</t>
  </si>
  <si>
    <t xml:space="preserve">1. Yellow cells are inputs (areas, coats, consumption rates, pack sizes, allowances, wastage %). All other figures are formulas.</t>
  </si>
  <si>
    <t xml:space="preserve">2. Consumption rates are Sika PDS theoretical values and exclude surface porosity, profile and level variations; the wastage allowance (default 18%) covers this plus overlaps at details.</t>
  </si>
  <si>
    <t xml:space="preserve">3. Items 5-12 are allowances / counts to be confirmed after the joint site survey and the RWDP coring count; adjust the yellow cells.</t>
  </si>
  <si>
    <t xml:space="preserve">4. Areas are plan areas from the CAD drawing. Gutter side walls, upstands and drain side faces are excluded - measure on site and add to the area cells if they are to be coated.</t>
  </si>
  <si>
    <t xml:space="preserve">5. Confirm current pack sizes, roll sizes and lead times with Sika Kimia Sdn Bhd before placing the order.</t>
  </si>
  <si>
    <t xml:space="preserve">MATERIAL REQUIREMENT BY FLOOR (for phased delivery)</t>
  </si>
  <si>
    <t xml:space="preserve">Quantities include the wastage % set on the 'Material Requirement' sheet. Consumption rates and pack sizes are linked from that sheet.</t>
  </si>
  <si>
    <t xml:space="preserve">Floor area (m²)</t>
  </si>
  <si>
    <t xml:space="preserve">Gutter / drain area (m²)</t>
  </si>
  <si>
    <t xml:space="preserve">Sikalastic U-Primer (kg)</t>
  </si>
  <si>
    <t xml:space="preserve">Sikalastic-632 R (kg)</t>
  </si>
  <si>
    <t xml:space="preserve">SikaTop Seal-107 (kg)</t>
  </si>
  <si>
    <t xml:space="preserve">U-Primer pails (14 kg)</t>
  </si>
  <si>
    <t xml:space="preserve">632 R pails (21 kg)</t>
  </si>
  <si>
    <t xml:space="preserve">Seal-107 sets (25 kg)</t>
  </si>
  <si>
    <t xml:space="preserve">3rd Floor</t>
  </si>
  <si>
    <t xml:space="preserve">4th Floor</t>
  </si>
  <si>
    <t xml:space="preserve">5th Floor</t>
  </si>
  <si>
    <t xml:space="preserve">6th Floor</t>
  </si>
  <si>
    <t xml:space="preserve">TOTAL</t>
  </si>
  <si>
    <t xml:space="preserve">Note: per-floor pack counts are rounded up individually, so their sum may exceed the single-lot order quantity on the Material Requirement sheet by a few packs.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</si>
</sst>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.00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4" min="13" style="0" width="10"/>
    <col collapsed="false" customWidth="true" hidden="false" outlineLevel="0" max="15" min="15" style="0" width="18"/>
    <col collapsed="false" customWidth="true" hidden="false" outlineLevel="0" max="16" min="16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3" t="s">
        <v>10</v>
      </c>
      <c r="B8" s="4" t="s">
        <v>11</v>
      </c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 t="s">
        <v>12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3" t="s">
        <v>13</v>
      </c>
      <c r="B10" s="4"/>
      <c r="C10" s="4"/>
      <c r="D10" s="4"/>
      <c r="E10" s="4"/>
      <c r="F10" s="4"/>
      <c r="G10" s="4"/>
      <c r="H10" s="4"/>
    </row>
    <row r="12" customFormat="false" ht="15" hidden="false" customHeight="false" outlineLevel="0" collapsed="false">
      <c r="A12" s="5" t="s">
        <v>14</v>
      </c>
      <c r="B12" s="6" t="n">
        <v>0.18</v>
      </c>
      <c r="C12" s="7" t="s">
        <v>15</v>
      </c>
    </row>
    <row r="14" customFormat="false" ht="15" hidden="false" customHeight="false" outlineLevel="0" collapsed="false">
      <c r="A14" s="8" t="s">
        <v>16</v>
      </c>
    </row>
    <row r="15" customFormat="false" ht="21.75" hidden="false" customHeight="true" outlineLevel="0" collapsed="false">
      <c r="A15" s="9" t="s">
        <v>17</v>
      </c>
      <c r="B15" s="9" t="s">
        <v>18</v>
      </c>
      <c r="C15" s="9" t="s">
        <v>19</v>
      </c>
      <c r="D15" s="9" t="s">
        <v>20</v>
      </c>
      <c r="E15" s="9" t="s">
        <v>21</v>
      </c>
    </row>
    <row r="16" customFormat="false" ht="74.6" hidden="false" customHeight="false" outlineLevel="0" collapsed="false">
      <c r="A16" s="10" t="s">
        <v>22</v>
      </c>
      <c r="B16" s="11" t="s">
        <v>23</v>
      </c>
      <c r="C16" s="11" t="s">
        <v>24</v>
      </c>
      <c r="D16" s="12" t="n">
        <v>309.84</v>
      </c>
      <c r="E16" s="13" t="s">
        <v>25</v>
      </c>
    </row>
    <row r="17" customFormat="false" ht="74.6" hidden="false" customHeight="false" outlineLevel="0" collapsed="false">
      <c r="A17" s="10" t="s">
        <v>26</v>
      </c>
      <c r="B17" s="11" t="s">
        <v>27</v>
      </c>
      <c r="C17" s="11" t="s">
        <v>28</v>
      </c>
      <c r="D17" s="12" t="n">
        <v>337.9</v>
      </c>
      <c r="E17" s="13" t="s">
        <v>25</v>
      </c>
    </row>
    <row r="18" customFormat="false" ht="74.6" hidden="false" customHeight="false" outlineLevel="0" collapsed="false">
      <c r="A18" s="10" t="s">
        <v>29</v>
      </c>
      <c r="B18" s="11" t="s">
        <v>30</v>
      </c>
      <c r="C18" s="11" t="s">
        <v>28</v>
      </c>
      <c r="D18" s="12" t="n">
        <v>2688.1</v>
      </c>
      <c r="E18" s="13" t="s">
        <v>25</v>
      </c>
    </row>
    <row r="20" customFormat="false" ht="15" hidden="false" customHeight="false" outlineLevel="0" collapsed="false">
      <c r="A20" s="8" t="s">
        <v>31</v>
      </c>
    </row>
    <row r="21" customFormat="false" ht="43.5" hidden="false" customHeight="true" outlineLevel="0" collapsed="false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9" t="s">
        <v>20</v>
      </c>
      <c r="G21" s="9" t="s">
        <v>37</v>
      </c>
      <c r="H21" s="9" t="s">
        <v>38</v>
      </c>
      <c r="I21" s="9" t="s">
        <v>39</v>
      </c>
      <c r="J21" s="9" t="s">
        <v>40</v>
      </c>
      <c r="K21" s="9" t="s">
        <v>41</v>
      </c>
      <c r="L21" s="9" t="s">
        <v>42</v>
      </c>
      <c r="M21" s="9" t="s">
        <v>43</v>
      </c>
      <c r="N21" s="9" t="s">
        <v>44</v>
      </c>
      <c r="O21" s="9" t="s">
        <v>45</v>
      </c>
      <c r="P21" s="9" t="s">
        <v>46</v>
      </c>
    </row>
    <row r="22" customFormat="false" ht="54" hidden="false" customHeight="true" outlineLevel="0" collapsed="false">
      <c r="A22" s="11" t="s">
        <v>47</v>
      </c>
      <c r="B22" s="10" t="s">
        <v>48</v>
      </c>
      <c r="C22" s="13" t="s">
        <v>49</v>
      </c>
      <c r="D22" s="13" t="s">
        <v>50</v>
      </c>
      <c r="E22" s="11" t="s">
        <v>22</v>
      </c>
      <c r="F22" s="14" t="n">
        <f aca="false">$D$16</f>
        <v>309.84</v>
      </c>
      <c r="G22" s="15" t="n">
        <v>3</v>
      </c>
      <c r="H22" s="12" t="n">
        <v>1.5</v>
      </c>
      <c r="I22" s="14" t="n">
        <f aca="false">F22*G22*H22</f>
        <v>1394.28</v>
      </c>
      <c r="J22" s="16" t="n">
        <f aca="false">$B$12</f>
        <v>0.18</v>
      </c>
      <c r="K22" s="17" t="n">
        <f aca="false">I22*(1+J22)</f>
        <v>1645.2504</v>
      </c>
      <c r="L22" s="11" t="s">
        <v>51</v>
      </c>
      <c r="M22" s="12" t="n">
        <v>25</v>
      </c>
      <c r="N22" s="18" t="n">
        <f aca="false">ROUNDUP(K22/M22,0)</f>
        <v>66</v>
      </c>
      <c r="O22" s="13" t="s">
        <v>52</v>
      </c>
      <c r="P22" s="13" t="s">
        <v>53</v>
      </c>
    </row>
    <row r="23" customFormat="false" ht="54" hidden="false" customHeight="true" outlineLevel="0" collapsed="false">
      <c r="A23" s="11" t="s">
        <v>54</v>
      </c>
      <c r="B23" s="10" t="s">
        <v>48</v>
      </c>
      <c r="C23" s="13" t="s">
        <v>55</v>
      </c>
      <c r="D23" s="13" t="s">
        <v>56</v>
      </c>
      <c r="E23" s="11" t="s">
        <v>26</v>
      </c>
      <c r="F23" s="14" t="n">
        <f aca="false">$D$17</f>
        <v>337.9</v>
      </c>
      <c r="G23" s="15" t="n">
        <v>3</v>
      </c>
      <c r="H23" s="12" t="n">
        <v>1.5</v>
      </c>
      <c r="I23" s="14" t="n">
        <f aca="false">F23*G23*H23</f>
        <v>1520.55</v>
      </c>
      <c r="J23" s="16" t="n">
        <f aca="false">$B$12</f>
        <v>0.18</v>
      </c>
      <c r="K23" s="17" t="n">
        <f aca="false">I23*(1+J23)</f>
        <v>1794.249</v>
      </c>
      <c r="L23" s="11" t="s">
        <v>51</v>
      </c>
      <c r="M23" s="12" t="n">
        <v>25</v>
      </c>
      <c r="N23" s="18" t="n">
        <f aca="false">ROUNDUP(K23/M23,0)</f>
        <v>72</v>
      </c>
      <c r="O23" s="13" t="s">
        <v>52</v>
      </c>
      <c r="P23" s="13" t="s">
        <v>57</v>
      </c>
    </row>
    <row r="24" customFormat="false" ht="54" hidden="false" customHeight="true" outlineLevel="0" collapsed="false">
      <c r="A24" s="11" t="s">
        <v>58</v>
      </c>
      <c r="B24" s="10" t="s">
        <v>59</v>
      </c>
      <c r="C24" s="13" t="s">
        <v>60</v>
      </c>
      <c r="D24" s="13" t="s">
        <v>61</v>
      </c>
      <c r="E24" s="11" t="s">
        <v>29</v>
      </c>
      <c r="F24" s="14" t="n">
        <f aca="false">$D$18</f>
        <v>2688.1</v>
      </c>
      <c r="G24" s="15" t="n">
        <v>1</v>
      </c>
      <c r="H24" s="12" t="n">
        <v>0.2</v>
      </c>
      <c r="I24" s="14" t="n">
        <f aca="false">F24*G24*H24</f>
        <v>537.62</v>
      </c>
      <c r="J24" s="16" t="n">
        <f aca="false">$B$12</f>
        <v>0.18</v>
      </c>
      <c r="K24" s="17" t="n">
        <f aca="false">I24*(1+J24)</f>
        <v>634.3916</v>
      </c>
      <c r="L24" s="11" t="s">
        <v>62</v>
      </c>
      <c r="M24" s="12" t="n">
        <v>14</v>
      </c>
      <c r="N24" s="18" t="n">
        <f aca="false">ROUNDUP(K24/M24,0)</f>
        <v>46</v>
      </c>
      <c r="O24" s="13" t="s">
        <v>52</v>
      </c>
      <c r="P24" s="13" t="s">
        <v>63</v>
      </c>
    </row>
    <row r="25" customFormat="false" ht="54" hidden="false" customHeight="true" outlineLevel="0" collapsed="false">
      <c r="A25" s="11" t="s">
        <v>64</v>
      </c>
      <c r="B25" s="10" t="s">
        <v>65</v>
      </c>
      <c r="C25" s="13" t="s">
        <v>66</v>
      </c>
      <c r="D25" s="13" t="s">
        <v>67</v>
      </c>
      <c r="E25" s="11" t="s">
        <v>29</v>
      </c>
      <c r="F25" s="14" t="n">
        <f aca="false">$D$18</f>
        <v>2688.1</v>
      </c>
      <c r="G25" s="15" t="n">
        <v>3</v>
      </c>
      <c r="H25" s="12" t="n">
        <v>0.7</v>
      </c>
      <c r="I25" s="14" t="n">
        <f aca="false">F25*G25*H25</f>
        <v>5645.01</v>
      </c>
      <c r="J25" s="16" t="n">
        <f aca="false">$B$12</f>
        <v>0.18</v>
      </c>
      <c r="K25" s="17" t="n">
        <f aca="false">I25*(1+J25)</f>
        <v>6661.1118</v>
      </c>
      <c r="L25" s="11" t="s">
        <v>68</v>
      </c>
      <c r="M25" s="12" t="n">
        <v>21</v>
      </c>
      <c r="N25" s="18" t="n">
        <f aca="false">ROUNDUP(K25/M25,0)</f>
        <v>318</v>
      </c>
      <c r="O25" s="13" t="s">
        <v>52</v>
      </c>
      <c r="P25" s="13" t="s">
        <v>69</v>
      </c>
    </row>
    <row r="26" customFormat="false" ht="54" hidden="false" customHeight="true" outlineLevel="0" collapsed="false">
      <c r="A26" s="19" t="s">
        <v>70</v>
      </c>
      <c r="B26" s="20" t="s">
        <v>71</v>
      </c>
      <c r="C26" s="21" t="s">
        <v>72</v>
      </c>
      <c r="D26" s="21" t="s">
        <v>73</v>
      </c>
      <c r="E26" s="19" t="s">
        <v>74</v>
      </c>
      <c r="F26" s="19" t="s">
        <v>74</v>
      </c>
      <c r="G26" s="19" t="s">
        <v>74</v>
      </c>
      <c r="H26" s="19" t="s">
        <v>74</v>
      </c>
      <c r="I26" s="12" t="n">
        <v>600</v>
      </c>
      <c r="J26" s="22" t="n">
        <f aca="false">$B$12</f>
        <v>0.18</v>
      </c>
      <c r="K26" s="23" t="n">
        <f aca="false">I26*(1+J26)</f>
        <v>708</v>
      </c>
      <c r="L26" s="19" t="s">
        <v>75</v>
      </c>
      <c r="M26" s="12" t="n">
        <v>50</v>
      </c>
      <c r="N26" s="24" t="n">
        <f aca="false">ROUNDUP(K26/M26,0)</f>
        <v>15</v>
      </c>
      <c r="O26" s="21" t="s">
        <v>52</v>
      </c>
      <c r="P26" s="21" t="s">
        <v>76</v>
      </c>
    </row>
    <row r="27" customFormat="false" ht="54" hidden="false" customHeight="true" outlineLevel="0" collapsed="false">
      <c r="A27" s="19" t="s">
        <v>77</v>
      </c>
      <c r="B27" s="20" t="s">
        <v>78</v>
      </c>
      <c r="C27" s="21" t="s">
        <v>79</v>
      </c>
      <c r="D27" s="21" t="s">
        <v>80</v>
      </c>
      <c r="E27" s="19" t="s">
        <v>74</v>
      </c>
      <c r="F27" s="19" t="s">
        <v>74</v>
      </c>
      <c r="G27" s="19" t="s">
        <v>74</v>
      </c>
      <c r="H27" s="19" t="s">
        <v>74</v>
      </c>
      <c r="I27" s="12" t="n">
        <v>20</v>
      </c>
      <c r="J27" s="22" t="n">
        <f aca="false">$B$12</f>
        <v>0.18</v>
      </c>
      <c r="K27" s="23" t="n">
        <f aca="false">I27*(1+J27)</f>
        <v>23.6</v>
      </c>
      <c r="L27" s="19" t="s">
        <v>81</v>
      </c>
      <c r="M27" s="12" t="n">
        <v>5</v>
      </c>
      <c r="N27" s="24" t="n">
        <f aca="false">ROUNDUP(K27/M27,0)</f>
        <v>5</v>
      </c>
      <c r="O27" s="21" t="s">
        <v>52</v>
      </c>
      <c r="P27" s="21" t="s">
        <v>82</v>
      </c>
    </row>
    <row r="28" customFormat="false" ht="54" hidden="false" customHeight="true" outlineLevel="0" collapsed="false">
      <c r="A28" s="19" t="s">
        <v>83</v>
      </c>
      <c r="B28" s="20" t="s">
        <v>84</v>
      </c>
      <c r="C28" s="21" t="s">
        <v>85</v>
      </c>
      <c r="D28" s="21" t="s">
        <v>86</v>
      </c>
      <c r="E28" s="19" t="s">
        <v>74</v>
      </c>
      <c r="F28" s="19" t="s">
        <v>74</v>
      </c>
      <c r="G28" s="19" t="s">
        <v>74</v>
      </c>
      <c r="H28" s="19" t="s">
        <v>74</v>
      </c>
      <c r="I28" s="12" t="n">
        <v>40</v>
      </c>
      <c r="J28" s="22" t="n">
        <f aca="false">$B$12</f>
        <v>0.18</v>
      </c>
      <c r="K28" s="23" t="n">
        <f aca="false">I28*(1+J28)</f>
        <v>47.2</v>
      </c>
      <c r="L28" s="19" t="s">
        <v>87</v>
      </c>
      <c r="M28" s="12" t="n">
        <v>0.4</v>
      </c>
      <c r="N28" s="24" t="n">
        <f aca="false">ROUNDUP(K28/M28,0)</f>
        <v>118</v>
      </c>
      <c r="O28" s="21" t="s">
        <v>52</v>
      </c>
      <c r="P28" s="21" t="s">
        <v>88</v>
      </c>
    </row>
    <row r="29" customFormat="false" ht="54" hidden="false" customHeight="true" outlineLevel="0" collapsed="false">
      <c r="A29" s="19" t="s">
        <v>89</v>
      </c>
      <c r="B29" s="20" t="s">
        <v>90</v>
      </c>
      <c r="C29" s="21" t="s">
        <v>91</v>
      </c>
      <c r="D29" s="21" t="s">
        <v>92</v>
      </c>
      <c r="E29" s="19" t="s">
        <v>74</v>
      </c>
      <c r="F29" s="19" t="s">
        <v>74</v>
      </c>
      <c r="G29" s="19" t="s">
        <v>74</v>
      </c>
      <c r="H29" s="19" t="s">
        <v>74</v>
      </c>
      <c r="I29" s="12" t="n">
        <v>500</v>
      </c>
      <c r="J29" s="22" t="n">
        <f aca="false">$B$12</f>
        <v>0.18</v>
      </c>
      <c r="K29" s="23" t="n">
        <f aca="false">I29*(1+J29)</f>
        <v>590</v>
      </c>
      <c r="L29" s="19" t="s">
        <v>93</v>
      </c>
      <c r="M29" s="12" t="n">
        <v>25</v>
      </c>
      <c r="N29" s="24" t="n">
        <f aca="false">ROUNDUP(K29/M29,0)</f>
        <v>24</v>
      </c>
      <c r="O29" s="21" t="s">
        <v>52</v>
      </c>
      <c r="P29" s="21" t="s">
        <v>94</v>
      </c>
    </row>
    <row r="30" customFormat="false" ht="54" hidden="false" customHeight="true" outlineLevel="0" collapsed="false">
      <c r="A30" s="19" t="s">
        <v>95</v>
      </c>
      <c r="B30" s="20" t="s">
        <v>96</v>
      </c>
      <c r="C30" s="21" t="s">
        <v>97</v>
      </c>
      <c r="D30" s="21" t="s">
        <v>98</v>
      </c>
      <c r="E30" s="19" t="s">
        <v>74</v>
      </c>
      <c r="F30" s="19" t="s">
        <v>74</v>
      </c>
      <c r="G30" s="19" t="s">
        <v>74</v>
      </c>
      <c r="H30" s="19" t="s">
        <v>74</v>
      </c>
      <c r="I30" s="12" t="n">
        <v>40</v>
      </c>
      <c r="J30" s="22" t="n">
        <f aca="false">$B$12</f>
        <v>0.18</v>
      </c>
      <c r="K30" s="23" t="n">
        <f aca="false">I30*(1+J30)</f>
        <v>47.2</v>
      </c>
      <c r="L30" s="19" t="s">
        <v>99</v>
      </c>
      <c r="M30" s="12" t="n">
        <v>4</v>
      </c>
      <c r="N30" s="24" t="n">
        <f aca="false">ROUNDUP(K30/M30,0)</f>
        <v>12</v>
      </c>
      <c r="O30" s="21" t="s">
        <v>52</v>
      </c>
      <c r="P30" s="21" t="s">
        <v>100</v>
      </c>
    </row>
    <row r="31" customFormat="false" ht="54" hidden="false" customHeight="true" outlineLevel="0" collapsed="false">
      <c r="A31" s="19" t="s">
        <v>101</v>
      </c>
      <c r="B31" s="20" t="s">
        <v>102</v>
      </c>
      <c r="C31" s="21" t="s">
        <v>103</v>
      </c>
      <c r="D31" s="21" t="s">
        <v>104</v>
      </c>
      <c r="E31" s="19" t="s">
        <v>74</v>
      </c>
      <c r="F31" s="19" t="s">
        <v>74</v>
      </c>
      <c r="G31" s="19" t="s">
        <v>74</v>
      </c>
      <c r="H31" s="19" t="s">
        <v>74</v>
      </c>
      <c r="I31" s="19" t="s">
        <v>74</v>
      </c>
      <c r="J31" s="19" t="s">
        <v>74</v>
      </c>
      <c r="K31" s="19" t="s">
        <v>74</v>
      </c>
      <c r="L31" s="19" t="s">
        <v>105</v>
      </c>
      <c r="M31" s="19" t="s">
        <v>74</v>
      </c>
      <c r="N31" s="25" t="n">
        <v>12</v>
      </c>
      <c r="O31" s="21" t="s">
        <v>106</v>
      </c>
      <c r="P31" s="21" t="s">
        <v>107</v>
      </c>
    </row>
    <row r="32" customFormat="false" ht="54" hidden="false" customHeight="true" outlineLevel="0" collapsed="false">
      <c r="A32" s="19" t="s">
        <v>108</v>
      </c>
      <c r="B32" s="20" t="s">
        <v>109</v>
      </c>
      <c r="C32" s="21" t="s">
        <v>110</v>
      </c>
      <c r="D32" s="21" t="s">
        <v>111</v>
      </c>
      <c r="E32" s="19" t="s">
        <v>74</v>
      </c>
      <c r="F32" s="19" t="s">
        <v>74</v>
      </c>
      <c r="G32" s="19" t="s">
        <v>74</v>
      </c>
      <c r="H32" s="19" t="s">
        <v>74</v>
      </c>
      <c r="I32" s="19" t="s">
        <v>74</v>
      </c>
      <c r="J32" s="19" t="s">
        <v>74</v>
      </c>
      <c r="K32" s="19" t="s">
        <v>74</v>
      </c>
      <c r="L32" s="19" t="s">
        <v>112</v>
      </c>
      <c r="M32" s="19" t="s">
        <v>74</v>
      </c>
      <c r="N32" s="25" t="n">
        <v>16</v>
      </c>
      <c r="O32" s="21" t="s">
        <v>106</v>
      </c>
      <c r="P32" s="21" t="s">
        <v>113</v>
      </c>
    </row>
    <row r="33" customFormat="false" ht="54" hidden="false" customHeight="true" outlineLevel="0" collapsed="false">
      <c r="A33" s="19" t="s">
        <v>114</v>
      </c>
      <c r="B33" s="20" t="s">
        <v>115</v>
      </c>
      <c r="C33" s="21" t="s">
        <v>116</v>
      </c>
      <c r="D33" s="21" t="s">
        <v>117</v>
      </c>
      <c r="E33" s="19" t="s">
        <v>74</v>
      </c>
      <c r="F33" s="19" t="s">
        <v>74</v>
      </c>
      <c r="G33" s="19" t="s">
        <v>74</v>
      </c>
      <c r="H33" s="19" t="s">
        <v>74</v>
      </c>
      <c r="I33" s="12" t="n">
        <v>100</v>
      </c>
      <c r="J33" s="22" t="n">
        <f aca="false">$B$12</f>
        <v>0.18</v>
      </c>
      <c r="K33" s="23" t="n">
        <f aca="false">I33*(1+J33)</f>
        <v>118</v>
      </c>
      <c r="L33" s="19" t="s">
        <v>93</v>
      </c>
      <c r="M33" s="12" t="n">
        <v>25</v>
      </c>
      <c r="N33" s="24" t="n">
        <f aca="false">ROUNDUP(K33/M33,0)</f>
        <v>5</v>
      </c>
      <c r="O33" s="21" t="s">
        <v>118</v>
      </c>
      <c r="P33" s="21" t="s">
        <v>100</v>
      </c>
    </row>
    <row r="35" customFormat="false" ht="15" hidden="false" customHeight="false" outlineLevel="0" collapsed="false">
      <c r="A35" s="8" t="s">
        <v>119</v>
      </c>
    </row>
    <row r="36" customFormat="false" ht="21.75" hidden="false" customHeight="true" outlineLevel="0" collapsed="false">
      <c r="A36" s="9"/>
      <c r="B36" s="9" t="s">
        <v>120</v>
      </c>
      <c r="C36" s="9"/>
      <c r="D36" s="9"/>
      <c r="E36" s="9"/>
      <c r="F36" s="9"/>
      <c r="G36" s="9"/>
      <c r="H36" s="9"/>
      <c r="I36" s="9" t="s">
        <v>39</v>
      </c>
      <c r="J36" s="9"/>
      <c r="K36" s="9" t="s">
        <v>41</v>
      </c>
      <c r="L36" s="9" t="s">
        <v>42</v>
      </c>
      <c r="M36" s="9" t="s">
        <v>43</v>
      </c>
      <c r="N36" s="9" t="s">
        <v>44</v>
      </c>
      <c r="O36" s="9"/>
      <c r="P36" s="9"/>
    </row>
    <row r="37" customFormat="false" ht="15" hidden="false" customHeight="false" outlineLevel="0" collapsed="false">
      <c r="A37" s="26"/>
      <c r="B37" s="27" t="s">
        <v>48</v>
      </c>
      <c r="C37" s="26"/>
      <c r="D37" s="26"/>
      <c r="E37" s="26"/>
      <c r="F37" s="26"/>
      <c r="G37" s="26"/>
      <c r="H37" s="26"/>
      <c r="I37" s="28" t="n">
        <f aca="false">I22+I23</f>
        <v>2914.83</v>
      </c>
      <c r="J37" s="26"/>
      <c r="K37" s="29" t="n">
        <f aca="false">K22+K23</f>
        <v>3439.4994</v>
      </c>
      <c r="L37" s="26" t="s">
        <v>51</v>
      </c>
      <c r="M37" s="28" t="n">
        <f aca="false">M22</f>
        <v>25</v>
      </c>
      <c r="N37" s="30" t="n">
        <f aca="false">ROUNDUP(K37/M37,0)</f>
        <v>138</v>
      </c>
      <c r="O37" s="26"/>
      <c r="P37" s="26"/>
    </row>
    <row r="38" customFormat="false" ht="15" hidden="false" customHeight="false" outlineLevel="0" collapsed="false">
      <c r="A38" s="26"/>
      <c r="B38" s="27" t="s">
        <v>59</v>
      </c>
      <c r="C38" s="26"/>
      <c r="D38" s="26"/>
      <c r="E38" s="26"/>
      <c r="F38" s="26"/>
      <c r="G38" s="26"/>
      <c r="H38" s="26"/>
      <c r="I38" s="28" t="n">
        <f aca="false">I24</f>
        <v>537.62</v>
      </c>
      <c r="J38" s="26"/>
      <c r="K38" s="29" t="n">
        <f aca="false">K24</f>
        <v>634.3916</v>
      </c>
      <c r="L38" s="26" t="s">
        <v>62</v>
      </c>
      <c r="M38" s="28" t="n">
        <f aca="false">M24</f>
        <v>14</v>
      </c>
      <c r="N38" s="30" t="n">
        <f aca="false">ROUNDUP(K38/M38,0)</f>
        <v>46</v>
      </c>
      <c r="O38" s="26"/>
      <c r="P38" s="26"/>
    </row>
    <row r="39" customFormat="false" ht="15" hidden="false" customHeight="false" outlineLevel="0" collapsed="false">
      <c r="A39" s="26"/>
      <c r="B39" s="27" t="s">
        <v>65</v>
      </c>
      <c r="C39" s="26"/>
      <c r="D39" s="26"/>
      <c r="E39" s="26"/>
      <c r="F39" s="26"/>
      <c r="G39" s="26"/>
      <c r="H39" s="26"/>
      <c r="I39" s="28" t="n">
        <f aca="false">I25</f>
        <v>5645.01</v>
      </c>
      <c r="J39" s="26"/>
      <c r="K39" s="29" t="n">
        <f aca="false">K25</f>
        <v>6661.1118</v>
      </c>
      <c r="L39" s="26" t="s">
        <v>68</v>
      </c>
      <c r="M39" s="28" t="n">
        <f aca="false">M25</f>
        <v>21</v>
      </c>
      <c r="N39" s="30" t="n">
        <f aca="false">ROUNDUP(K39/M39,0)</f>
        <v>318</v>
      </c>
      <c r="O39" s="26"/>
      <c r="P39" s="26"/>
    </row>
    <row r="40" customFormat="false" ht="15" hidden="false" customHeight="false" outlineLevel="0" collapsed="false">
      <c r="A40" s="26"/>
      <c r="B40" s="27" t="s">
        <v>121</v>
      </c>
      <c r="C40" s="26"/>
      <c r="D40" s="26"/>
      <c r="E40" s="26"/>
      <c r="F40" s="26"/>
      <c r="G40" s="26"/>
      <c r="H40" s="26"/>
      <c r="I40" s="28" t="n">
        <f aca="false">I26</f>
        <v>600</v>
      </c>
      <c r="J40" s="26"/>
      <c r="K40" s="29" t="n">
        <f aca="false">K26</f>
        <v>708</v>
      </c>
      <c r="L40" s="26" t="s">
        <v>122</v>
      </c>
      <c r="M40" s="28" t="n">
        <f aca="false">M26</f>
        <v>50</v>
      </c>
      <c r="N40" s="30" t="n">
        <f aca="false">ROUNDUP(K40/M40,0)</f>
        <v>15</v>
      </c>
      <c r="O40" s="26"/>
      <c r="P40" s="26"/>
    </row>
    <row r="41" customFormat="false" ht="15" hidden="false" customHeight="false" outlineLevel="0" collapsed="false">
      <c r="A41" s="26"/>
      <c r="B41" s="27" t="s">
        <v>78</v>
      </c>
      <c r="C41" s="26"/>
      <c r="D41" s="26"/>
      <c r="E41" s="26"/>
      <c r="F41" s="26"/>
      <c r="G41" s="26"/>
      <c r="H41" s="26"/>
      <c r="I41" s="28" t="n">
        <f aca="false">I27</f>
        <v>20</v>
      </c>
      <c r="J41" s="26"/>
      <c r="K41" s="29" t="n">
        <f aca="false">K27</f>
        <v>23.6</v>
      </c>
      <c r="L41" s="26" t="s">
        <v>81</v>
      </c>
      <c r="M41" s="28" t="n">
        <f aca="false">M27</f>
        <v>5</v>
      </c>
      <c r="N41" s="30" t="n">
        <f aca="false">ROUNDUP(K41/M41,0)</f>
        <v>5</v>
      </c>
      <c r="O41" s="26"/>
      <c r="P41" s="26"/>
    </row>
    <row r="42" customFormat="false" ht="15" hidden="false" customHeight="false" outlineLevel="0" collapsed="false">
      <c r="A42" s="26"/>
      <c r="B42" s="27" t="s">
        <v>123</v>
      </c>
      <c r="C42" s="26"/>
      <c r="D42" s="26"/>
      <c r="E42" s="26"/>
      <c r="F42" s="26"/>
      <c r="G42" s="26"/>
      <c r="H42" s="26"/>
      <c r="I42" s="28" t="n">
        <f aca="false">I28</f>
        <v>40</v>
      </c>
      <c r="J42" s="26"/>
      <c r="K42" s="29" t="n">
        <f aca="false">K28</f>
        <v>47.2</v>
      </c>
      <c r="L42" s="26" t="s">
        <v>124</v>
      </c>
      <c r="M42" s="28" t="n">
        <f aca="false">M28</f>
        <v>0.4</v>
      </c>
      <c r="N42" s="30" t="n">
        <f aca="false">ROUNDUP(K42/M42,0)</f>
        <v>118</v>
      </c>
      <c r="O42" s="26"/>
      <c r="P42" s="26"/>
    </row>
    <row r="43" customFormat="false" ht="15" hidden="false" customHeight="false" outlineLevel="0" collapsed="false">
      <c r="A43" s="26"/>
      <c r="B43" s="27" t="s">
        <v>125</v>
      </c>
      <c r="C43" s="26"/>
      <c r="D43" s="26"/>
      <c r="E43" s="26"/>
      <c r="F43" s="26"/>
      <c r="G43" s="26"/>
      <c r="H43" s="26"/>
      <c r="I43" s="28" t="n">
        <f aca="false">I29</f>
        <v>500</v>
      </c>
      <c r="J43" s="26"/>
      <c r="K43" s="29" t="n">
        <f aca="false">K29</f>
        <v>590</v>
      </c>
      <c r="L43" s="26" t="s">
        <v>93</v>
      </c>
      <c r="M43" s="28" t="n">
        <f aca="false">M29</f>
        <v>25</v>
      </c>
      <c r="N43" s="30" t="n">
        <f aca="false">ROUNDUP(K43/M43,0)</f>
        <v>24</v>
      </c>
      <c r="O43" s="26"/>
      <c r="P43" s="26"/>
    </row>
    <row r="45" customFormat="false" ht="15" hidden="false" customHeight="false" outlineLevel="0" collapsed="false">
      <c r="A45" s="3" t="s">
        <v>126</v>
      </c>
    </row>
    <row r="46" customFormat="false" ht="15" hidden="false" customHeight="false" outlineLevel="0" collapsed="false">
      <c r="A46" s="31" t="s">
        <v>127</v>
      </c>
    </row>
    <row r="47" customFormat="false" ht="15" hidden="false" customHeight="false" outlineLevel="0" collapsed="false">
      <c r="A47" s="31" t="s">
        <v>128</v>
      </c>
    </row>
    <row r="48" customFormat="false" ht="15" hidden="false" customHeight="false" outlineLevel="0" collapsed="false">
      <c r="A48" s="31" t="s">
        <v>129</v>
      </c>
    </row>
    <row r="49" customFormat="false" ht="15" hidden="false" customHeight="false" outlineLevel="0" collapsed="false">
      <c r="A49" s="31" t="s">
        <v>130</v>
      </c>
    </row>
    <row r="50" customFormat="false" ht="15" hidden="false" customHeight="false" outlineLevel="0" collapsed="false">
      <c r="A50" s="31" t="s">
        <v>131</v>
      </c>
    </row>
  </sheetData>
  <mergeCells count="7">
    <mergeCell ref="B4:H4"/>
    <mergeCell ref="B5:H5"/>
    <mergeCell ref="B6:H6"/>
    <mergeCell ref="B7:H7"/>
    <mergeCell ref="B8:H8"/>
    <mergeCell ref="B9:H9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6" min="3" style="0" width="16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32" t="s">
        <v>132</v>
      </c>
    </row>
    <row r="2" customFormat="false" ht="15" hidden="false" customHeight="false" outlineLevel="0" collapsed="false">
      <c r="A2" s="7" t="s">
        <v>133</v>
      </c>
    </row>
    <row r="4" customFormat="false" ht="39.75" hidden="false" customHeight="true" outlineLevel="0" collapsed="false">
      <c r="A4" s="9" t="s">
        <v>19</v>
      </c>
      <c r="B4" s="9" t="s">
        <v>134</v>
      </c>
      <c r="C4" s="9" t="s">
        <v>135</v>
      </c>
      <c r="D4" s="9" t="s">
        <v>136</v>
      </c>
      <c r="E4" s="9" t="s">
        <v>137</v>
      </c>
      <c r="F4" s="9" t="s">
        <v>138</v>
      </c>
      <c r="G4" s="9" t="s">
        <v>139</v>
      </c>
      <c r="H4" s="9" t="s">
        <v>140</v>
      </c>
      <c r="I4" s="9" t="s">
        <v>141</v>
      </c>
    </row>
    <row r="5" customFormat="false" ht="15" hidden="false" customHeight="false" outlineLevel="0" collapsed="false">
      <c r="A5" s="10" t="s">
        <v>24</v>
      </c>
      <c r="B5" s="12" t="n">
        <v>0</v>
      </c>
      <c r="C5" s="12" t="n">
        <v>309.84</v>
      </c>
      <c r="D5" s="14" t="n">
        <f aca="false">B5*'Material Requirement'!$G$24*'Material Requirement'!$H$24*(1+'Material Requirement'!$B$12)</f>
        <v>0</v>
      </c>
      <c r="E5" s="14" t="n">
        <f aca="false">B5*'Material Requirement'!$G$25*'Material Requirement'!$H$25*(1+'Material Requirement'!$B$12)</f>
        <v>0</v>
      </c>
      <c r="F5" s="14" t="n">
        <f aca="false">C5*'Material Requirement'!$G$22*'Material Requirement'!$H$22*(1+'Material Requirement'!$B$12)</f>
        <v>1645.2504</v>
      </c>
      <c r="G5" s="33" t="n">
        <f aca="false">ROUNDUP(D5/'Material Requirement'!$M$24,0)</f>
        <v>0</v>
      </c>
      <c r="H5" s="33" t="n">
        <f aca="false">ROUNDUP(E5/'Material Requirement'!$M$25,0)</f>
        <v>0</v>
      </c>
      <c r="I5" s="33" t="n">
        <f aca="false">ROUNDUP(F5/'Material Requirement'!$M$22,0)</f>
        <v>66</v>
      </c>
    </row>
    <row r="6" customFormat="false" ht="15" hidden="false" customHeight="false" outlineLevel="0" collapsed="false">
      <c r="A6" s="10" t="s">
        <v>142</v>
      </c>
      <c r="B6" s="12" t="n">
        <v>960.85</v>
      </c>
      <c r="C6" s="12" t="n">
        <v>110.49</v>
      </c>
      <c r="D6" s="14" t="n">
        <f aca="false">B6*'Material Requirement'!$G$24*'Material Requirement'!$H$24*(1+'Material Requirement'!$B$12)</f>
        <v>226.7606</v>
      </c>
      <c r="E6" s="14" t="n">
        <f aca="false">B6*'Material Requirement'!$G$25*'Material Requirement'!$H$25*(1+'Material Requirement'!$B$12)</f>
        <v>2380.9863</v>
      </c>
      <c r="F6" s="14" t="n">
        <f aca="false">C6*'Material Requirement'!$G$22*'Material Requirement'!$H$22*(1+'Material Requirement'!$B$12)</f>
        <v>586.7019</v>
      </c>
      <c r="G6" s="33" t="n">
        <f aca="false">ROUNDUP(D6/'Material Requirement'!$M$24,0)</f>
        <v>17</v>
      </c>
      <c r="H6" s="33" t="n">
        <f aca="false">ROUNDUP(E6/'Material Requirement'!$M$25,0)</f>
        <v>114</v>
      </c>
      <c r="I6" s="33" t="n">
        <f aca="false">ROUNDUP(F6/'Material Requirement'!$M$22,0)</f>
        <v>24</v>
      </c>
    </row>
    <row r="7" customFormat="false" ht="15" hidden="false" customHeight="false" outlineLevel="0" collapsed="false">
      <c r="A7" s="10" t="s">
        <v>143</v>
      </c>
      <c r="B7" s="12" t="n">
        <v>793.02</v>
      </c>
      <c r="C7" s="12" t="n">
        <v>96.79</v>
      </c>
      <c r="D7" s="14" t="n">
        <f aca="false">B7*'Material Requirement'!$G$24*'Material Requirement'!$H$24*(1+'Material Requirement'!$B$12)</f>
        <v>187.15272</v>
      </c>
      <c r="E7" s="14" t="n">
        <f aca="false">B7*'Material Requirement'!$G$25*'Material Requirement'!$H$25*(1+'Material Requirement'!$B$12)</f>
        <v>1965.10356</v>
      </c>
      <c r="F7" s="14" t="n">
        <f aca="false">C7*'Material Requirement'!$G$22*'Material Requirement'!$H$22*(1+'Material Requirement'!$B$12)</f>
        <v>513.9549</v>
      </c>
      <c r="G7" s="33" t="n">
        <f aca="false">ROUNDUP(D7/'Material Requirement'!$M$24,0)</f>
        <v>14</v>
      </c>
      <c r="H7" s="33" t="n">
        <f aca="false">ROUNDUP(E7/'Material Requirement'!$M$25,0)</f>
        <v>94</v>
      </c>
      <c r="I7" s="33" t="n">
        <f aca="false">ROUNDUP(F7/'Material Requirement'!$M$22,0)</f>
        <v>21</v>
      </c>
    </row>
    <row r="8" customFormat="false" ht="15" hidden="false" customHeight="false" outlineLevel="0" collapsed="false">
      <c r="A8" s="10" t="s">
        <v>144</v>
      </c>
      <c r="B8" s="12" t="n">
        <v>553.47</v>
      </c>
      <c r="C8" s="12" t="n">
        <v>72.02</v>
      </c>
      <c r="D8" s="14" t="n">
        <f aca="false">B8*'Material Requirement'!$G$24*'Material Requirement'!$H$24*(1+'Material Requirement'!$B$12)</f>
        <v>130.61892</v>
      </c>
      <c r="E8" s="14" t="n">
        <f aca="false">B8*'Material Requirement'!$G$25*'Material Requirement'!$H$25*(1+'Material Requirement'!$B$12)</f>
        <v>1371.49866</v>
      </c>
      <c r="F8" s="14" t="n">
        <f aca="false">C8*'Material Requirement'!$G$22*'Material Requirement'!$H$22*(1+'Material Requirement'!$B$12)</f>
        <v>382.4262</v>
      </c>
      <c r="G8" s="33" t="n">
        <f aca="false">ROUNDUP(D8/'Material Requirement'!$M$24,0)</f>
        <v>10</v>
      </c>
      <c r="H8" s="33" t="n">
        <f aca="false">ROUNDUP(E8/'Material Requirement'!$M$25,0)</f>
        <v>66</v>
      </c>
      <c r="I8" s="33" t="n">
        <f aca="false">ROUNDUP(F8/'Material Requirement'!$M$22,0)</f>
        <v>16</v>
      </c>
    </row>
    <row r="9" customFormat="false" ht="15" hidden="false" customHeight="false" outlineLevel="0" collapsed="false">
      <c r="A9" s="10" t="s">
        <v>145</v>
      </c>
      <c r="B9" s="12" t="n">
        <v>380.76</v>
      </c>
      <c r="C9" s="12" t="n">
        <v>58.6</v>
      </c>
      <c r="D9" s="14" t="n">
        <f aca="false">B9*'Material Requirement'!$G$24*'Material Requirement'!$H$24*(1+'Material Requirement'!$B$12)</f>
        <v>89.85936</v>
      </c>
      <c r="E9" s="14" t="n">
        <f aca="false">B9*'Material Requirement'!$G$25*'Material Requirement'!$H$25*(1+'Material Requirement'!$B$12)</f>
        <v>943.52328</v>
      </c>
      <c r="F9" s="14" t="n">
        <f aca="false">C9*'Material Requirement'!$G$22*'Material Requirement'!$H$22*(1+'Material Requirement'!$B$12)</f>
        <v>311.166</v>
      </c>
      <c r="G9" s="33" t="n">
        <f aca="false">ROUNDUP(D9/'Material Requirement'!$M$24,0)</f>
        <v>7</v>
      </c>
      <c r="H9" s="33" t="n">
        <f aca="false">ROUNDUP(E9/'Material Requirement'!$M$25,0)</f>
        <v>45</v>
      </c>
      <c r="I9" s="33" t="n">
        <f aca="false">ROUNDUP(F9/'Material Requirement'!$M$22,0)</f>
        <v>13</v>
      </c>
    </row>
    <row r="10" customFormat="false" ht="15" hidden="false" customHeight="false" outlineLevel="0" collapsed="false">
      <c r="A10" s="34" t="s">
        <v>146</v>
      </c>
      <c r="B10" s="35" t="n">
        <f aca="false">SUM(B5:B9)</f>
        <v>2688.1</v>
      </c>
      <c r="C10" s="35" t="n">
        <f aca="false">SUM(C5:C9)</f>
        <v>647.74</v>
      </c>
      <c r="D10" s="35" t="n">
        <f aca="false">SUM(D5:D9)</f>
        <v>634.3916</v>
      </c>
      <c r="E10" s="35" t="n">
        <f aca="false">SUM(E5:E9)</f>
        <v>6661.1118</v>
      </c>
      <c r="F10" s="35" t="n">
        <f aca="false">SUM(F5:F9)</f>
        <v>3439.4994</v>
      </c>
      <c r="G10" s="36" t="n">
        <f aca="false">SUM(G5:G9)</f>
        <v>48</v>
      </c>
      <c r="H10" s="36" t="n">
        <f aca="false">SUM(H5:H9)</f>
        <v>319</v>
      </c>
      <c r="I10" s="36" t="n">
        <f aca="false">SUM(I5:I9)</f>
        <v>140</v>
      </c>
    </row>
    <row r="12" customFormat="false" ht="15" hidden="false" customHeight="false" outlineLevel="0" collapsed="false">
      <c r="A12" s="7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2026-10-12T09:10:35Z</dcterms:created>
  <dc:creator>openpyxl</dc:creator>
  <dc:description/>
  <dc:language>en-US</dc:language>
  <cp:lastModifiedBy/>
  <dcterms:modified xsi:type="dcterms:W3CDTF">2026-10-12T09:10:35Z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